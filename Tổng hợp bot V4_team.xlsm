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ông việc\"/>
    </mc:Choice>
  </mc:AlternateContent>
  <xr:revisionPtr revIDLastSave="0" documentId="13_ncr:1_{2DA4A488-3895-421F-86E6-6F690BF7E14D}" xr6:coauthVersionLast="47" xr6:coauthVersionMax="47" xr10:uidLastSave="{00000000-0000-0000-0000-000000000000}"/>
  <bookViews>
    <workbookView xWindow="-108" yWindow="-108" windowWidth="23256" windowHeight="12720" activeTab="3" xr2:uid="{00000000-000D-0000-FFFF-FFFF00000000}"/>
  </bookViews>
  <sheets>
    <sheet name="Chia cổ tức" sheetId="28" r:id="rId1"/>
    <sheet name="Quản lý ví" sheetId="30" r:id="rId2"/>
    <sheet name="Tài sản Quỹ" sheetId="31" r:id="rId3"/>
    <sheet name="&lt;&lt;&lt;&lt;&lt;Team-&gt;" sheetId="32" r:id="rId4"/>
    <sheet name="Kênh line" sheetId="33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6" i="32" l="1"/>
  <c r="AJ6" i="32"/>
  <c r="AI6" i="32"/>
  <c r="I5" i="28"/>
  <c r="J5" i="28" s="1"/>
  <c r="J14" i="28" s="1"/>
  <c r="K6" i="32"/>
  <c r="L6" i="32"/>
  <c r="Z6" i="32" s="1"/>
  <c r="G5" i="28"/>
  <c r="H18" i="28"/>
  <c r="E21" i="30"/>
  <c r="G21" i="30" s="1"/>
  <c r="C18" i="28" s="1"/>
  <c r="E20" i="30"/>
  <c r="J17" i="28" l="1"/>
  <c r="J11" i="28"/>
  <c r="J12" i="28"/>
  <c r="J6" i="28"/>
  <c r="J7" i="28"/>
  <c r="J15" i="28"/>
  <c r="J8" i="28"/>
  <c r="J16" i="28"/>
  <c r="J9" i="28"/>
  <c r="J10" i="28"/>
  <c r="J18" i="28"/>
  <c r="J13" i="28"/>
  <c r="H8" i="28"/>
  <c r="H9" i="28"/>
  <c r="H10" i="28"/>
  <c r="H11" i="28"/>
  <c r="H12" i="28"/>
  <c r="H13" i="28"/>
  <c r="H14" i="28"/>
  <c r="H15" i="28"/>
  <c r="H16" i="28"/>
  <c r="H17" i="28"/>
  <c r="H6" i="28"/>
  <c r="H7" i="28"/>
  <c r="J26" i="28" l="1"/>
  <c r="G6" i="32"/>
  <c r="M6" i="32" s="1"/>
  <c r="U6" i="32" s="1"/>
  <c r="X6" i="32" s="1"/>
  <c r="H26" i="28"/>
  <c r="E8" i="31"/>
  <c r="G8" i="31" s="1"/>
  <c r="E9" i="31"/>
  <c r="G9" i="31" s="1"/>
  <c r="E10" i="31"/>
  <c r="G10" i="31" s="1"/>
  <c r="G20" i="30"/>
  <c r="N6" i="32" l="1"/>
  <c r="Q6" i="32"/>
  <c r="K20" i="30"/>
  <c r="C17" i="28"/>
  <c r="E4" i="31"/>
  <c r="G4" i="31" s="1"/>
  <c r="E5" i="31"/>
  <c r="G5" i="31" s="1"/>
  <c r="E6" i="31"/>
  <c r="G6" i="31" s="1"/>
  <c r="E7" i="31"/>
  <c r="G7" i="31" s="1"/>
  <c r="E3" i="31"/>
  <c r="G3" i="31" s="1"/>
  <c r="L2" i="31"/>
  <c r="E19" i="30"/>
  <c r="G19" i="30" s="1"/>
  <c r="E18" i="30"/>
  <c r="G18" i="30" s="1"/>
  <c r="K18" i="30" s="1"/>
  <c r="E17" i="30"/>
  <c r="G17" i="30" s="1"/>
  <c r="E16" i="30"/>
  <c r="G16" i="30" s="1"/>
  <c r="E15" i="30"/>
  <c r="G15" i="30" s="1"/>
  <c r="K15" i="30" s="1"/>
  <c r="E14" i="30"/>
  <c r="G14" i="30" s="1"/>
  <c r="K14" i="30" s="1"/>
  <c r="E13" i="30"/>
  <c r="G13" i="30" s="1"/>
  <c r="E12" i="30"/>
  <c r="G12" i="30" s="1"/>
  <c r="K12" i="30" s="1"/>
  <c r="E11" i="30"/>
  <c r="G11" i="30" s="1"/>
  <c r="K11" i="30" s="1"/>
  <c r="E10" i="30"/>
  <c r="G10" i="30" s="1"/>
  <c r="K10" i="30" s="1"/>
  <c r="E9" i="30"/>
  <c r="G9" i="30" s="1"/>
  <c r="K9" i="30" s="1"/>
  <c r="E8" i="30"/>
  <c r="G8" i="30" s="1"/>
  <c r="K8" i="30" s="1"/>
  <c r="E7" i="30"/>
  <c r="G7" i="30" s="1"/>
  <c r="K7" i="30" s="1"/>
  <c r="E6" i="30"/>
  <c r="G6" i="30" s="1"/>
  <c r="K6" i="30" s="1"/>
  <c r="E5" i="30"/>
  <c r="G5" i="30" s="1"/>
  <c r="E4" i="30"/>
  <c r="G3" i="30"/>
  <c r="L2" i="30"/>
  <c r="W6" i="32" l="1"/>
  <c r="Y6" i="32" s="1"/>
  <c r="H2" i="30"/>
  <c r="H21" i="30" s="1"/>
  <c r="L20" i="30"/>
  <c r="L21" i="30" s="1"/>
  <c r="C7" i="28"/>
  <c r="K5" i="30"/>
  <c r="C12" i="28"/>
  <c r="K13" i="30"/>
  <c r="C16" i="28"/>
  <c r="K19" i="30"/>
  <c r="C14" i="28"/>
  <c r="K17" i="30"/>
  <c r="C11" i="28"/>
  <c r="K16" i="30"/>
  <c r="C9" i="28"/>
  <c r="C15" i="28"/>
  <c r="C8" i="28"/>
  <c r="C10" i="28"/>
  <c r="C13" i="28"/>
  <c r="H2" i="31"/>
  <c r="H10" i="31" s="1"/>
  <c r="G4" i="30"/>
  <c r="E7" i="28"/>
  <c r="E16" i="28"/>
  <c r="E15" i="28"/>
  <c r="E14" i="28"/>
  <c r="E13" i="28"/>
  <c r="E12" i="28"/>
  <c r="E11" i="28"/>
  <c r="E10" i="28"/>
  <c r="E9" i="28"/>
  <c r="E8" i="28"/>
  <c r="E5" i="28" l="1"/>
  <c r="M2" i="31"/>
  <c r="H12" i="30"/>
  <c r="H20" i="30"/>
  <c r="C6" i="28"/>
  <c r="K4" i="30"/>
  <c r="H7" i="31"/>
  <c r="H9" i="31"/>
  <c r="H11" i="30"/>
  <c r="H10" i="30"/>
  <c r="H19" i="30"/>
  <c r="H16" i="30"/>
  <c r="H8" i="30"/>
  <c r="H5" i="30"/>
  <c r="H7" i="30"/>
  <c r="H18" i="30"/>
  <c r="H15" i="30"/>
  <c r="H9" i="30"/>
  <c r="H14" i="30"/>
  <c r="H17" i="30"/>
  <c r="H6" i="30"/>
  <c r="H13" i="30"/>
  <c r="H8" i="31"/>
  <c r="H6" i="31"/>
  <c r="H5" i="31"/>
  <c r="H4" i="31"/>
  <c r="H3" i="31"/>
  <c r="H3" i="30"/>
  <c r="H4" i="30"/>
  <c r="D5" i="28" l="1"/>
  <c r="D12" i="28" s="1"/>
  <c r="D8" i="28" l="1"/>
  <c r="D15" i="28"/>
  <c r="D6" i="28"/>
  <c r="D11" i="28"/>
  <c r="D7" i="28"/>
  <c r="D10" i="28"/>
  <c r="D18" i="28"/>
  <c r="D17" i="28"/>
  <c r="D13" i="28"/>
  <c r="D9" i="28"/>
  <c r="D14" i="28"/>
  <c r="D16" i="28"/>
  <c r="F5" i="28" l="1"/>
  <c r="F6" i="28" l="1"/>
  <c r="F16" i="28"/>
  <c r="F12" i="28"/>
  <c r="F14" i="28"/>
  <c r="F9" i="28"/>
  <c r="F15" i="28"/>
  <c r="F13" i="28"/>
  <c r="F7" i="28"/>
  <c r="F8" i="28"/>
  <c r="F11" i="28"/>
  <c r="F10" i="28"/>
</calcChain>
</file>

<file path=xl/sharedStrings.xml><?xml version="1.0" encoding="utf-8"?>
<sst xmlns="http://schemas.openxmlformats.org/spreadsheetml/2006/main" count="515" uniqueCount="419">
  <si>
    <t>near</t>
  </si>
  <si>
    <t>Thiện</t>
  </si>
  <si>
    <t>Tuấn</t>
  </si>
  <si>
    <t>Long</t>
  </si>
  <si>
    <t>Hiệu</t>
  </si>
  <si>
    <t>Ví team</t>
  </si>
  <si>
    <t>Văn</t>
  </si>
  <si>
    <t>Tú</t>
  </si>
  <si>
    <t>Đạt</t>
  </si>
  <si>
    <t>Nhà Đầu Tư</t>
  </si>
  <si>
    <t>BẢNG CHIA LÃI HÀNG TUẦN CHO CÁC NHÀ ĐẦU TƯ</t>
  </si>
  <si>
    <t>TỔNG HỢP VÍ  NHÀ ĐẦU TƯ</t>
  </si>
  <si>
    <t>Nhà đầu tư</t>
  </si>
  <si>
    <t>chain</t>
  </si>
  <si>
    <t>địa chỉ ví near</t>
  </si>
  <si>
    <t>ví bot oct</t>
  </si>
  <si>
    <t>hanquock.near</t>
  </si>
  <si>
    <t>ví bot ref</t>
  </si>
  <si>
    <t>hanquocj.near</t>
  </si>
  <si>
    <t>ví bot paras</t>
  </si>
  <si>
    <t>hanquocz.near</t>
  </si>
  <si>
    <t>Ví Celo Near</t>
  </si>
  <si>
    <t>hanquocb.near</t>
  </si>
  <si>
    <t>hanquockorean.near</t>
  </si>
  <si>
    <t>dxthienx1.near</t>
  </si>
  <si>
    <t>A Ngọc</t>
  </si>
  <si>
    <t>ngoctruong.near</t>
  </si>
  <si>
    <t>trader33tuoi.near</t>
  </si>
  <si>
    <t>hieulucy.near</t>
  </si>
  <si>
    <t>n2vc4b.near</t>
  </si>
  <si>
    <t>tunguyen148.near</t>
  </si>
  <si>
    <t>tkd93.near</t>
  </si>
  <si>
    <t>A Hào</t>
  </si>
  <si>
    <t>crazy0123.near</t>
  </si>
  <si>
    <t>A Ngôn</t>
  </si>
  <si>
    <t>ngonnt.near</t>
  </si>
  <si>
    <t>cpnear.near</t>
  </si>
  <si>
    <t xml:space="preserve">Ví Quỹ </t>
  </si>
  <si>
    <t>teambottrade.near</t>
    <phoneticPr fontId="6"/>
  </si>
  <si>
    <t>lpbot.near</t>
  </si>
  <si>
    <t>wrap.near</t>
  </si>
  <si>
    <t>Hodl
LPB</t>
    <phoneticPr fontId="6"/>
  </si>
  <si>
    <t>Pool
shares</t>
    <phoneticPr fontId="6"/>
  </si>
  <si>
    <t>to
LPB</t>
    <phoneticPr fontId="6"/>
  </si>
  <si>
    <t>Total</t>
    <phoneticPr fontId="6"/>
  </si>
  <si>
    <t>Days:</t>
    <phoneticPr fontId="6"/>
  </si>
  <si>
    <t>Rate(near)</t>
    <phoneticPr fontId="6"/>
  </si>
  <si>
    <t>Totalshares</t>
    <phoneticPr fontId="6"/>
  </si>
  <si>
    <t>Pool 3426</t>
    <phoneticPr fontId="6"/>
  </si>
  <si>
    <t>LPB locked</t>
    <phoneticPr fontId="6"/>
  </si>
  <si>
    <t>lpbot.near</t>
    <phoneticPr fontId="6"/>
  </si>
  <si>
    <r>
      <t>T</t>
    </r>
    <r>
      <rPr>
        <b/>
        <sz val="11"/>
        <color theme="1"/>
        <rFont val="Calibri"/>
        <family val="2"/>
      </rPr>
      <t>Ổ</t>
    </r>
    <r>
      <rPr>
        <b/>
        <sz val="11"/>
        <color theme="1"/>
        <rFont val="Calibri"/>
        <family val="3"/>
        <charset val="128"/>
        <scheme val="minor"/>
      </rPr>
      <t>NG H</t>
    </r>
    <r>
      <rPr>
        <b/>
        <sz val="11"/>
        <color theme="1"/>
        <rFont val="Calibri"/>
        <family val="2"/>
      </rPr>
      <t>Ợ</t>
    </r>
    <r>
      <rPr>
        <b/>
        <sz val="11"/>
        <color theme="1"/>
        <rFont val="Calibri"/>
        <family val="3"/>
        <charset val="128"/>
        <scheme val="minor"/>
      </rPr>
      <t>P TÀI S</t>
    </r>
    <r>
      <rPr>
        <b/>
        <sz val="11"/>
        <color theme="1"/>
        <rFont val="Calibri"/>
        <family val="3"/>
        <charset val="163"/>
      </rPr>
      <t>Ả</t>
    </r>
    <r>
      <rPr>
        <b/>
        <sz val="11"/>
        <color theme="1"/>
        <rFont val="Calibri"/>
        <family val="3"/>
        <charset val="128"/>
        <scheme val="minor"/>
      </rPr>
      <t>N QU</t>
    </r>
    <r>
      <rPr>
        <b/>
        <sz val="11"/>
        <color theme="1"/>
        <rFont val="Calibri"/>
        <family val="3"/>
        <charset val="163"/>
      </rPr>
      <t>Ỹ</t>
    </r>
    <phoneticPr fontId="6"/>
  </si>
  <si>
    <t>Near shares</t>
    <phoneticPr fontId="6"/>
  </si>
  <si>
    <t>Hodl
Near</t>
    <phoneticPr fontId="6"/>
  </si>
  <si>
    <t>Ví con</t>
    <phoneticPr fontId="6"/>
  </si>
  <si>
    <t>Pool 3426
shares</t>
    <phoneticPr fontId="6"/>
  </si>
  <si>
    <t>Ví Binance Celo</t>
    <phoneticPr fontId="6"/>
  </si>
  <si>
    <t>Ví Mexc Celo</t>
    <phoneticPr fontId="6"/>
  </si>
  <si>
    <t>near</t>
    <phoneticPr fontId="6"/>
  </si>
  <si>
    <t>koreanb.near</t>
    <phoneticPr fontId="6"/>
  </si>
  <si>
    <r>
      <t>Giá c</t>
    </r>
    <r>
      <rPr>
        <sz val="11"/>
        <color theme="1"/>
        <rFont val="Segoe UI"/>
        <family val="2"/>
        <charset val="238"/>
      </rPr>
      <t>ơ</t>
    </r>
    <r>
      <rPr>
        <sz val="11"/>
        <color theme="1"/>
        <rFont val="Calibri"/>
        <family val="2"/>
        <charset val="163"/>
        <scheme val="minor"/>
      </rPr>
      <t xml:space="preserve"> s</t>
    </r>
    <r>
      <rPr>
        <sz val="11"/>
        <color theme="1"/>
        <rFont val="Calibri"/>
        <family val="2"/>
        <charset val="163"/>
      </rPr>
      <t xml:space="preserve">ở
</t>
    </r>
    <r>
      <rPr>
        <sz val="11"/>
        <color theme="1"/>
        <rFont val="ＭＳ Ｐゴシック"/>
        <family val="2"/>
        <charset val="128"/>
      </rPr>
      <t>(NEAR)</t>
    </r>
    <phoneticPr fontId="6"/>
  </si>
  <si>
    <t>Total (NEAR)</t>
    <phoneticPr fontId="6"/>
  </si>
  <si>
    <t>Team</t>
    <phoneticPr fontId="5" type="noConversion"/>
  </si>
  <si>
    <t>Lookup
LPB</t>
    <phoneticPr fontId="5" type="noConversion"/>
  </si>
  <si>
    <r>
      <t>LPB s</t>
    </r>
    <r>
      <rPr>
        <b/>
        <sz val="11"/>
        <color theme="1"/>
        <rFont val="Calibri"/>
        <family val="2"/>
      </rPr>
      <t>ở</t>
    </r>
    <r>
      <rPr>
        <b/>
        <sz val="11"/>
        <color theme="1"/>
        <rFont val="Calibri"/>
        <family val="3"/>
        <charset val="128"/>
        <scheme val="minor"/>
      </rPr>
      <t xml:space="preserve"> h</t>
    </r>
    <r>
      <rPr>
        <b/>
        <sz val="11"/>
        <color theme="1"/>
        <rFont val="Calibri"/>
        <family val="2"/>
      </rPr>
      <t>ữ</t>
    </r>
    <r>
      <rPr>
        <b/>
        <sz val="11"/>
        <color theme="1"/>
        <rFont val="Calibri"/>
        <family val="3"/>
        <charset val="128"/>
        <scheme val="minor"/>
      </rPr>
      <t>u</t>
    </r>
    <phoneticPr fontId="5" type="noConversion"/>
  </si>
  <si>
    <r>
      <t>Tu</t>
    </r>
    <r>
      <rPr>
        <b/>
        <sz val="11"/>
        <color theme="1"/>
        <rFont val="Calibri"/>
        <family val="2"/>
        <charset val="163"/>
      </rPr>
      <t>ầ</t>
    </r>
    <r>
      <rPr>
        <b/>
        <sz val="11"/>
        <color theme="1"/>
        <rFont val="Calibri"/>
        <family val="2"/>
        <scheme val="minor"/>
      </rPr>
      <t>n:</t>
    </r>
    <phoneticPr fontId="5" type="noConversion"/>
  </si>
  <si>
    <r>
      <t>lãi 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Calibri"/>
        <family val="3"/>
        <charset val="128"/>
        <scheme val="minor"/>
      </rPr>
      <t>n</t>
    </r>
    <phoneticPr fontId="5" type="noConversion"/>
  </si>
  <si>
    <t>%</t>
    <phoneticPr fontId="5" type="noConversion"/>
  </si>
  <si>
    <t>Ví gate Celo</t>
    <phoneticPr fontId="6"/>
  </si>
  <si>
    <t>near</t>
    <phoneticPr fontId="6"/>
  </si>
  <si>
    <t>marionhan.near</t>
    <phoneticPr fontId="6"/>
  </si>
  <si>
    <t>teambottrade.near</t>
  </si>
  <si>
    <t>TỔNG KẾT DOANH THU BOT ( Near)</t>
  </si>
  <si>
    <t>Tổng kết các thành viên của team</t>
  </si>
  <si>
    <t>Ghi CHú</t>
  </si>
  <si>
    <t>kiểm tra lại</t>
  </si>
  <si>
    <t>Doanh Thu</t>
  </si>
  <si>
    <t>Chi</t>
  </si>
  <si>
    <t>Tài sản team bot</t>
  </si>
  <si>
    <t>Rút về ví hàng tuần</t>
  </si>
  <si>
    <t>Gửi tạm
Đầu tư</t>
  </si>
  <si>
    <t>Tổng Rút sau đầu tư</t>
  </si>
  <si>
    <t>Thời gian</t>
  </si>
  <si>
    <t>Giá Near</t>
  </si>
  <si>
    <t>Lãi bot</t>
  </si>
  <si>
    <t>Thu thuế</t>
  </si>
  <si>
    <t>HH gate</t>
  </si>
  <si>
    <t>HH Mxc</t>
  </si>
  <si>
    <t>Total</t>
  </si>
  <si>
    <t xml:space="preserve">Tái đầu tư </t>
  </si>
  <si>
    <t>trả nợ</t>
  </si>
  <si>
    <t>1.Fee VPS
(5)</t>
  </si>
  <si>
    <t>2.Trả lương</t>
  </si>
  <si>
    <t xml:space="preserve">3.Tái đầu tư </t>
  </si>
  <si>
    <t xml:space="preserve">Tổng thu về </t>
  </si>
  <si>
    <t>100u
(1ng)</t>
  </si>
  <si>
    <t xml:space="preserve">Tuấn </t>
  </si>
  <si>
    <t>Tổng cash</t>
  </si>
  <si>
    <t>Ngọc</t>
  </si>
  <si>
    <t>Tuấn
(AM+AP-AO)</t>
  </si>
  <si>
    <t>Thiện
(AN+AR-AQ)</t>
  </si>
  <si>
    <t>4.xung quỹ
1 tuần</t>
  </si>
  <si>
    <t>Lãi đầu tư</t>
  </si>
  <si>
    <t>bot
trả
(L+M)</t>
  </si>
  <si>
    <t>bot trả
(L+N)</t>
  </si>
  <si>
    <t>Near
(T+U+K)</t>
  </si>
  <si>
    <t>Near
(V+W-E-F)</t>
  </si>
  <si>
    <t>Near
(L)</t>
  </si>
  <si>
    <t>Cần nạp</t>
  </si>
  <si>
    <t>Đã Nạp</t>
  </si>
  <si>
    <t>thu về ví</t>
  </si>
  <si>
    <t>chi trả</t>
  </si>
  <si>
    <t>còn trong ví tuần này</t>
  </si>
  <si>
    <t>Tuần 3</t>
  </si>
  <si>
    <t>Tuần 4</t>
  </si>
  <si>
    <t>Tuần 5</t>
  </si>
  <si>
    <t>Tuần 6</t>
  </si>
  <si>
    <t>Tuần 7</t>
  </si>
  <si>
    <t>Tuần 8</t>
  </si>
  <si>
    <t>Tuần 9</t>
  </si>
  <si>
    <t>Tuần 10</t>
  </si>
  <si>
    <t>Tuần 11</t>
  </si>
  <si>
    <t>Tuần 12</t>
  </si>
  <si>
    <t>Tuần 13</t>
  </si>
  <si>
    <t>Tuần 14</t>
  </si>
  <si>
    <t>Tuần 15</t>
  </si>
  <si>
    <t>Tuần 16</t>
  </si>
  <si>
    <t>lpb</t>
  </si>
  <si>
    <t>Nhân</t>
  </si>
  <si>
    <t>marionhan.near</t>
  </si>
  <si>
    <t>A Thắng</t>
  </si>
  <si>
    <t>thanghx.near</t>
  </si>
  <si>
    <t>Near hiện có</t>
  </si>
  <si>
    <t>hh tuần tới</t>
  </si>
  <si>
    <t>Tên bot</t>
  </si>
  <si>
    <t>tên kênh</t>
  </si>
  <si>
    <t>@</t>
  </si>
  <si>
    <t>/noti add channellog $$</t>
  </si>
  <si>
    <t>Bina celo</t>
  </si>
  <si>
    <t>Bina celo1</t>
  </si>
  <si>
    <t>@827xkjzq</t>
  </si>
  <si>
    <t>v7ULFVQoH0OYLx6o7X+/yRAa0+yvwW6k11dQBNIRTiKxVizuwrV79zNwYGKQA1iy+oI2TFnumaLcO+g3j9/82l/Sdwj/MRpNjBfRk96GxP3NomMiCtNkYgO8J9pxocSExj6PrR2X8RVQaVoVEb4L+AdB04t89/1O/w1cDnyilFU=</t>
  </si>
  <si>
    <t>dxthienx10</t>
  </si>
  <si>
    <t>Bina celo2</t>
  </si>
  <si>
    <t>@861safei</t>
  </si>
  <si>
    <t>+9ba2PZvgzBsv8dJdVQbRquRQxYHLos/a/xKRUzQ9Q4dfc4ZoswiN6gNEhHxiHJDQqj0ptqS+oLVD7WkPbY4agbbYzUsNH3lUPC+ytKrY+zaDLohJ2Ajoqvsg+p62tb2Shc0GPaqcyFpjbfiT3V67AdB04t89/1O/w1cDnyilFU=</t>
  </si>
  <si>
    <t>Bina celo3</t>
  </si>
  <si>
    <t>@823yoczd</t>
  </si>
  <si>
    <t>eVaRfxcVtmDIjhzShHknmGI/ThTJx87Cj5a0bxfENRNlHoPp2CMsBLVu3j5s6jD2Txuj00naWBP5i/bDdpKaZehc23uV0paUm1Q9Z4M62rptRho+0d/he4F/OswOEeph5B8AShwNWy3Yfto9IkiR0gdB04t89/1O/w1cDnyilFU=</t>
  </si>
  <si>
    <t>Bina celo4</t>
  </si>
  <si>
    <t>@494eroqa</t>
  </si>
  <si>
    <t>uXtCV4SGIHA2OahqITouuXXtwF/W4WZ92ByJqcQZqFyHw2XgOZVtrCXs/oxHikjjo09iW8xvN0m9QXsotIC4BZtmeBo0Qt0d3YArzodCc4qaXVY/GklQSSJz+KLFstw23SNomuzB/hrdgMPCZ6sUPQdB04t89/1O/w1cDnyilFU=</t>
  </si>
  <si>
    <t>Bina celo5</t>
  </si>
  <si>
    <t>@909grglw</t>
  </si>
  <si>
    <t>kw9CuP0Nck4YK+zo0z53kHnY9AlEhsdbJgw3VYimdqRWH64Z6neTexc5Ni8uBEbhoC09nuckkrp3gZbQxjDKkA5PlogPf4+eeOzZP0+/FBIoUcUmNGTXLo1ER9Fioq47BmzyTW6tVkK+GKCQmrTqwwdB04t89/1O/w1cDnyilFU=</t>
  </si>
  <si>
    <t>Bina celo6</t>
  </si>
  <si>
    <t>@932oqqco</t>
  </si>
  <si>
    <t>citoykq2+j8el7vNXg/OvC7Gj3WjxwPWsBx8srm+mrJVJKt+t3CoU2EebNfLopH2TUQTdrjScyEnEsONsWumt5RxPDRE8++s0fQC1wbmnEA9TmiMIKcYQKZCCebMTH+MDFShpP8HbfE3uLqCiDuZrgdB04t89/1O/w1cDnyilFU=</t>
  </si>
  <si>
    <t>Bina celo7</t>
  </si>
  <si>
    <t>@735roxsq</t>
  </si>
  <si>
    <t>8aPYZNzgqzRyAUhjP/wc7c5ZDzTNM4aAncW1bDSkRKeEjc6iTO1qqnpJW1IQEJXvvLVTNT4pgrAVyE+lKYPHVFmF7ylAAsAfTtRTuaIYd1TTaoEG5aI6wwTWMkYICXnW1y6L+Ihjoxc498Uk7ntWCQdB04t89/1O/w1cDnyilFU=</t>
  </si>
  <si>
    <t>Bina celo8</t>
  </si>
  <si>
    <t>@207sxgij</t>
  </si>
  <si>
    <t>eKxUhMPHp66GI861konGUta+7+aoKZAvIj+2FP5L1bFD0ne8ZuFwMlarxVbcZccik1IC4/jiufvTYi2qyeOTHWDtATLY66GcfKh90oiy+9VHXJKDlMetEMnSwyP903hg9qUxiQcFJAZAagX6DvXHsAdB04t89/1O/w1cDnyilFU=</t>
  </si>
  <si>
    <t>Bina celo9</t>
  </si>
  <si>
    <t>@037stdry</t>
  </si>
  <si>
    <t>4f/SNiNo6DIZb1Ou9NDie0/J5BFQ+lIC0kiiuTiFe3Vd3pmBIiuQrXvgtv4nHtAWdGq2PeTTCFrXlESjzEnhTYt29ZPzu3Xf6GRraOZaF8jUhxhzdUd4TG845zMH3hh1Ai69+oJZmMdvYxA7WY9DiQdB04t89/1O/w1cDnyilFU=</t>
  </si>
  <si>
    <t>Bina celo10</t>
  </si>
  <si>
    <t>@527kzbrg</t>
  </si>
  <si>
    <t>HMQCUc7PkBKg9HNJTy7hBabQABW+Z3F5LPLqYrVPWhsWKvbP1DBD3fOe/zu7QbNqyRaIBq6mCfKDXMB+9Kz1G+8id+Vz/+ZU+q6Gx5Q6nNafL1VD7vej5UWUICSAKgi/cILzpnnuKW6XaUK+CjpYbgdB04t89/1O/w1cDnyilFU=</t>
  </si>
  <si>
    <t>Bina celo11</t>
  </si>
  <si>
    <t>@114lrjtx</t>
  </si>
  <si>
    <t>v/GeAWhrYr7XkUW/icub+VbWBS0YWpbprqQPRPbjMz9GfLr+Gz+22u/w9zznrDmplFeY+wi9RRuN/1fbGiaCGCDRpFWsN8oI27xBNM1aGuNBy31XuSokhMMV2KiLE00Z/2ZfINnoanhbcOjAwZdBkAdB04t89/1O/w1cDnyilFU=</t>
  </si>
  <si>
    <t>Bina celo12</t>
  </si>
  <si>
    <t>@376pvbbl</t>
  </si>
  <si>
    <t>gCe6t5hDzJwa+byVlkRJcLJprr4bFQXbBWh50b81M+l+Wmos9kNmIBo2aWPtrbLL+/3MfSuJyw3VCR8WKt6a30VzVAEVF74c9bwvTTUDSoMke8wwXF2bUcci7GqDNpErbOocn9NV51ItiNw9Q/ovzAdB04t89/1O/w1cDnyilFU=</t>
  </si>
  <si>
    <t>Bina celo13</t>
  </si>
  <si>
    <t>@563swzfz</t>
  </si>
  <si>
    <t>r73neZjP0Rok6zXQa/8DZPtpDN/J1XyvP5MECFe6PCGsp9hD+zYxh6kZgAtlE11NFfXl/OktbG1GPPr+fJPYB2l4T7kQgIOjvgnpo1u6vQCVVZtE368vKQIpSnUkenhSNDpJW2fzc91KR/FoDbWCYgdB04t89/1O/w1cDnyilFU=</t>
  </si>
  <si>
    <t>Bina celo14</t>
  </si>
  <si>
    <t>@842nyhwg</t>
  </si>
  <si>
    <t>4ceZnSBturPfSNXzgtLOvppN6p1ns0y1RgN/hrvGkGheqMox72rSQxhy7LmSj4IYOiSxiWCdFPmXqF+4ZtRmgYlTgEW624b1wObffRuo+uW2CO6CE8UZCgfvkNfA4jbL1poU8z8LZOWWeDpH85jfkQdB04t89/1O/w1cDnyilFU=</t>
  </si>
  <si>
    <t>Bina celo15</t>
  </si>
  <si>
    <t>@925nkrzi</t>
  </si>
  <si>
    <t>VJ0i7QHf+33COdyxC/YymMaTGESwGMNl9s8rdLl441UlAYjePLnx0oRffNayuNvmi8ZOb08dHXDQD8oSCXdGn0plFjYGHEnkMMrMQJtWV4byMOVLubRkwWJNIRAlhXAccFfMq0QBYiL4IoCX8Q271AdB04t89/1O/w1cDnyilFU=</t>
  </si>
  <si>
    <t>Bina celo16</t>
  </si>
  <si>
    <t>@079dwuuq</t>
  </si>
  <si>
    <t>FJlz/0AlbOiqIOMy8eDqNABY1zgwOiRRMr1qa+aHY7pL1XaL+GJh6kI+BuscTZtdfp86LWwXKxghSQHYw0WkT4ttL7DC4gZMzh+SEgfWFhfbGUOXrFjxHWfloSVBkrf3VU/+9hf0KUXdikGpFq0xaAdB04t89/1O/w1cDnyilFU=</t>
  </si>
  <si>
    <t>Bina celo17</t>
  </si>
  <si>
    <t>@388imlnp</t>
  </si>
  <si>
    <t>Cst7bNAa0vIUNLLc9b6smpguZfhcdpPdKZNdCfYhOH19n0iMU+78twesxNbbTnqd2EhMBykd8qQykD6yD42CaFv/ZKyQNiLnpO5KbblmhvwcV/kDwX33OsNzKbSMm2I485tgXjeb5j3qD6HkvB0mHgdB04t89/1O/w1cDnyilFU=</t>
  </si>
  <si>
    <t>Bina celo18</t>
  </si>
  <si>
    <t>@414nkkaw</t>
  </si>
  <si>
    <t>e0QVzQSuehYn27YCRGiw4PPdrZ6oR7yD6Pza53j5QXYx0DX7munnbtvs4PSZvimZAL4l0gswX7q85U1KRVGWovDEkZk6ueRcUV3MsXWMt2rF4ZYRuSyx/CJhJ9bV7A0Z49ps/gUYpj5VtOPrrmrEGwdB04t89/1O/w1cDnyilFU=</t>
  </si>
  <si>
    <t>Bina celo19</t>
  </si>
  <si>
    <t>@268jssio</t>
  </si>
  <si>
    <t>1JqlAV3H34Rgg4SwwwTeWQHQfPtqolrNw+U/a5b9SwhTvYinnyS+YQc2IUWVB6jDYF9XLfIu7z5TzxEhg+9ItLAFOsUumXTe7V79hAzlVmKGOBgSCQplrukDpIHgr70x1ApGGy7E2zIV820px+uKcgdB04t89/1O/w1cDnyilFU=</t>
  </si>
  <si>
    <t>Bina celo20</t>
  </si>
  <si>
    <t>@329rdtei</t>
  </si>
  <si>
    <t>W3TWylg+14PMbpXFkBgVwGU1jarPFQ7TaqcflJ0Mm8rxXBSRuaDog9rYOzZRiNAVdq5tTPVZgRHZDKaM6zAd1jE/BIEGq+9qBXWWntJACsByqmoAj3wDoeGgHCg0x+FSMb/Wb8FJn88hCuXLh9UfKQdB04t89/1O/w1cDnyilFU=</t>
  </si>
  <si>
    <t>Bina celo21</t>
  </si>
  <si>
    <t>@282mjdhy</t>
  </si>
  <si>
    <t>MkKic9FdVrhGR1UKG1h1xrpr1PxVcpeFJPUKD6cEEi428hNStbxhbcYWJ7SZ6gM7VJvge1a/cbTDumSkspLVPWUN1Mk0tLtskHtMRz6HixBONeTjRER3nA/tsF5KCetxfcxhKwvBm/CajJOTm4At6AdB04t89/1O/w1cDnyilFU=</t>
  </si>
  <si>
    <t>Bina celo22</t>
  </si>
  <si>
    <t>@919xdbfv</t>
  </si>
  <si>
    <t>5Tuzma/xDyBqAVqgaCR3pzJNb/dArHB2jbl07L2abIe5es12hZHb7AggoZ8Bcx5h1KZWZfRsZxFrdqwzEsQcKIH/dv2rO0GOR3Qv4p+R9wTHtCkyihBiJaM7sH3fjSEv7mPSnpmSoBTp9ev79xzswQdB04t89/1O/w1cDnyilFU=</t>
  </si>
  <si>
    <t>gate - oct ref</t>
  </si>
  <si>
    <t>gate1</t>
  </si>
  <si>
    <t>@214wxhlc</t>
  </si>
  <si>
    <t>sjRnkFDbTa//n9Vdex6JCd1Wg23BljG49e2BRPSc4JkL3biQGc8nWirp7H+VCzDEtrk++GLp2LO2uA7abJNhTnJIeCeptdt9/sihGFkqWYx5jfVFx399I1mJ4fiD87b28Bf/8BPmnyD5lU6Gps6tmQdB04t89/1O/w1cDnyilFU=</t>
  </si>
  <si>
    <t>gate2</t>
  </si>
  <si>
    <t>@120aydfa</t>
  </si>
  <si>
    <t>3CY3rnQ2fd2B6c666uDqf3cl/mz7uZXCGgqNhIP7dIdGVKuo8pXuOdAqwWosf18FgTNaTxmc5NAVp0xRy74Fx02wXkJQTydqwMtNpyRHKjC0Wfe5SvmrueCznew2pd16fCc4siAgDYmzTTb7FLBjcwdB04t89/1O/w1cDnyilFU=</t>
  </si>
  <si>
    <t>gate3</t>
  </si>
  <si>
    <t>@584iplgc</t>
  </si>
  <si>
    <t>nfsKwKEhBZs59PcUGXurjA7sed8vKwHR8MOFJoN9nnYiSRkvfJUw1f6DVEcgPfqmgkb81hYRu3sgLjJFBCs6h3aVbYrMjpw+0qpZDMPFBv30JidpYijimfm/Yg+d7y3d/Tq9s6zQKkPUoIKPohPb7gdB04t89/1O/w1cDnyilFU=</t>
  </si>
  <si>
    <t>gate4</t>
  </si>
  <si>
    <t>@664dqdkn</t>
  </si>
  <si>
    <t>xUWvZCvMfwHW6U2NmCNHggiD44rbxl/OiojVnwgsyFd5DOJHbb4uF4CL4nAnn+o2xAuvoWG55EuSqGrrF4edAcHtd6sHhj1u8tjbkOCPIv030LhXSz3SyNDxO4hD4pvf9Gy0O1v9aR7ay7A4FheU/gdB04t89/1O/w1cDnyilFU=</t>
  </si>
  <si>
    <t>gate5</t>
  </si>
  <si>
    <t>@287quvvb</t>
  </si>
  <si>
    <t>+MbBncLS7wbh5vvl+0fOzs9WJHJLf5perUY7HTNjoh33AtocjGZpncVl2DKxuK82X8ih/Kdm4f76ZceiDf0ba6jlJvHA3KIPw23TnnVfGPKdb8ievUCoS/ulwzEL9t+TCddxSsSmqjNtVxHzu5XSjAdB04t89/1O/w1cDnyilFU=</t>
  </si>
  <si>
    <t>gate6</t>
  </si>
  <si>
    <t>@689ocbgi</t>
  </si>
  <si>
    <t>KRPpvj/RRDIWg9nnwIkQkXqfkPsXtD4dMNAx7BHYrs90xQmOQSyjZ8IpmIR4DCyuUfgp5V80eZSf1pH1aYqzQUaPD8iAgPp2XPZwTkDKHnLK0QAa9JDSGa2ZDMR6OaDT1FEvWOl2uznWbOYrTxF7zAdB04t89/1O/w1cDnyilFU=</t>
  </si>
  <si>
    <t>gate7</t>
  </si>
  <si>
    <t>@647eruge</t>
  </si>
  <si>
    <t>pCXsyZfqaahwDts8lmwDLfxT51d7jFd1bAWSe72XM3YuCNQv4icFaR7gJhGh9d2xa3bvk6hICEGIAj4pDYC1e+xLxThH8JMmtwLyCjSq++HYd6DGKUx2hSgcZq4rlQhzO511MmPpU7ehPTH4sa89dAdB04t89/1O/w1cDnyilFU=</t>
  </si>
  <si>
    <t>gate8</t>
  </si>
  <si>
    <t>@703ojnce</t>
  </si>
  <si>
    <t>PQX3rqSvm7H3mzRPHSFTzJETvX6I0NveNUYHGdEdhkhduui/jX3wbOozcfFKrTlpk/mSEkkEzcwwxds95ovYLdAPpbQJ7zVggk/Qb3EJ19tZ/zqbW2Lx4lAwUtqfW+LYC+Z0Er4J2pK18UC6uoI+XQdB04t89/1O/w1cDnyilFU=</t>
  </si>
  <si>
    <t>gate9</t>
  </si>
  <si>
    <t>@001xpssb</t>
  </si>
  <si>
    <t>yn6hGRtiM8vsvRyMzShSEt5JAvCRlFeMDKGM2cZ0+swk6S4blUZYjeJlTzuzl8EqABGYvz7yd74gcxVOR2WgR66NeBUECJrFysSqo3syA5hwobcbxKPBs40JWS/Aqb5l2IcV1KcFxGyfwIs42jfoBQdB04t89/1O/w1cDnyilFU=</t>
  </si>
  <si>
    <t>gate10</t>
  </si>
  <si>
    <t>@981flvzz</t>
  </si>
  <si>
    <t>+kCg/0MPPk9w+9mLhmZ4SiE4WpHqdEMueb9q3XSfhTk92ODR4VBZIgYNe0w92ptth3D510WFvTnLkwEXm2z5T0tYl34eWBnRdyudcKyWKgHQuVweeu7MCucAVPbVnIu7OJig+FN9P6uNAgIQt2lVYQdB04t89/1O/w1cDnyilFU=</t>
  </si>
  <si>
    <t>gate11</t>
  </si>
  <si>
    <t>@183rtnjd</t>
  </si>
  <si>
    <t>ii6h/SREGOa/MRZN/dsA6tmnIylyf95Ve1xCm5WQUksUGwaGYunyJiXqFOGECjD0+ihI7E5jobtVyyiU8JdM+5F3qJHt0wCLnMsEcXJHEYYD9Ao6Y9/zmOUDKUcNzaXBc6Wdt10DJQ8+kTjMapcKmwdB04t89/1O/w1cDnyilFU=</t>
  </si>
  <si>
    <t>gate12</t>
  </si>
  <si>
    <t>@134nafjl</t>
  </si>
  <si>
    <t>KmlK0zuv1sHjAQ8792XhxgjgUd8ym6wfX/BCfm0HE8CWRUBK/g/OVPcDfFXvUJoWWd5jcFG659bGkcwlErdzgw2VxE5mqT4ocuNHLLi5DVCVFvQcCMjR6sHRFnn7c3RZvC+O/NPA+/yQCnYSVX9o4AdB04t89/1O/w1cDnyilFU=</t>
  </si>
  <si>
    <t>gate13</t>
  </si>
  <si>
    <t>@408iomfp</t>
  </si>
  <si>
    <t>w1mzvjKU8JIIhp1dLV1Wf+ZzBgzHonlH0Mb3rUXrlO7DQUFFn06Kgnhab7jsYHJB5GrIxmKJu8RxP2OoJCPuSzCdCdM0SPbQOT8MR4KKm7GOiwBhm1k0/cIaQwT68I2AxTpxvxMZUZmvgpOR0zugkgdB04t89/1O/w1cDnyilFU=</t>
  </si>
  <si>
    <t>gate14</t>
  </si>
  <si>
    <t>@658ayefc</t>
  </si>
  <si>
    <t>ttpXZU4QPAaMfVUiPFVS8xeJ8u+oaVHeu3LDwrZ/ttgRnwBXa7dRAluOLKcUlZFLg9LhH+cJ9fa/gMW7Iffr78534pVcBGJCCeDGtqQnrCuE2QkRFTFRFkMc0u6iaAaT7mjs8dtsXG/FkI3/3cw4tAdB04t89/1O/w1cDnyilFU=</t>
  </si>
  <si>
    <t>gate15</t>
  </si>
  <si>
    <t>@795otfug</t>
  </si>
  <si>
    <t>OiNwlDCcCK9D+80BR2okYKimnsk2/CmjC4FoFx4eyxY0rZxRc7K5P6NoeIbIHh7CXhdROxgJQ/j/Lnk6VZh2Qoa4BvNeZpDzQ3j7aCmP2rxlzJS11Dv4BoBy5/JdHDCF8goPg+4O/LKDDukejOTyHAdB04t89/1O/w1cDnyilFU=</t>
  </si>
  <si>
    <t>gate16</t>
  </si>
  <si>
    <t>@603pxvpu</t>
  </si>
  <si>
    <t>82fVf0tJTqOzxXlfp2yJ/oPhtiDwLlOnwRew3RYOIbaEP+3n31aoiIvNKyxJUTXZA8RAP9yaQY57V3uDd3LPPvHNLQlWacj4ugNiU9L19GxhBCTMoGZHwOP3N7bMptVTIlKWU0HeAMcF973PpgFLdwdB04t89/1O/w1cDnyilFU=</t>
  </si>
  <si>
    <t>gate17</t>
  </si>
  <si>
    <t>@406xnoag</t>
  </si>
  <si>
    <t>FvYOfsHdvh132LcGaZRIPd/OQI5k5qz8oIQu/Va5n46XpxE9KgXQL6ARCdgKJVaybXy1uTT5pUUz0ta12MMx9YiJCTT2evBf/0dS0uqfGeY+njLLklZHhQhgZiPeaBrGB2hJmNbYMPgQLvF9FFyBSgdB04t89/1O/w1cDnyilFU=</t>
  </si>
  <si>
    <t>gate18</t>
  </si>
  <si>
    <t>@970jmmnm</t>
  </si>
  <si>
    <t>RFU+OFnuMgzMe7L39FNIcnxsG1BtIs6103vlsHHXoP6L8ul/+TsbaapdqFI6+rIoIw+5HaQzCe7XMWw1nqll0D58AyX7oCW6ZsrEUutyW+1AV6JJLqnC0n2BB/83TsUO+w8KTDpq7pqK8TDkQQNpbwdB04t89/1O/w1cDnyilFU=</t>
  </si>
  <si>
    <t>gate19</t>
  </si>
  <si>
    <t>@129rqokm</t>
  </si>
  <si>
    <t>NHYsDQ7r9tOmnFYqg/oFoIkN+BcVYGoU17a9DZK6GISyz67bGX6PRoHMFhJwvNIlVUoMmUUCt+qpv16BeVd3/uamZ/BUVwqaR3ciuGMGeEubqULINl++VLmB/mVcoZEx2uIiaLJCSCLTSTxh8E+pkAdB04t89/1O/w1cDnyilFU=</t>
  </si>
  <si>
    <t>gate20</t>
  </si>
  <si>
    <t>@634uzqxz</t>
  </si>
  <si>
    <t>N0vmvsGrqJYcm1pl5zp0JbnZj82EKv+5+76k3h8umng59UzE+33GeIcadC8Qtj8L7lbG7r+LRUDEN1abJ1ysugT2UWMPWdgZZZJMFxodZkKF3pB0m7SuATt4VGH+sD/rxxmcw9nMIB7qrdBlMHIKFgdB04t89/1O/w1cDnyilFU=</t>
  </si>
  <si>
    <t>gate21</t>
  </si>
  <si>
    <t>@681gsqbd</t>
  </si>
  <si>
    <t>ZytRBLz2/7CxvJqclBqEJx/KlwXbeD9puv94bWw+XFLT76BcKU9UqeyDHAQcpvmrvsHaeR9efW4DDIGR42E7TXwwdglh85rf4kSPNvGia/6YdaAk4PoSZNnpPWFlw4htdL6w/iIuKUKKCQNH6pJLSQdB04t89/1O/w1cDnyilFU=</t>
  </si>
  <si>
    <t>gate22</t>
  </si>
  <si>
    <t>@272rgaqx</t>
  </si>
  <si>
    <t>vB6LO1Y1bbuc8Zpwwhm6OVviQmYUuy5Jnxq1KJEphOVlTDSHlVnCPInczdOgzfrj+GxzWR07miV01WuiuuIYoqwcpZadHRq+cIkGuwLSwzlIQcp1E5gbyzkfZzblrWXlaeC/qCHRHlZni0oVZQvjrwdB04t89/1O/w1cDnyilFU=</t>
  </si>
  <si>
    <t>gate23</t>
  </si>
  <si>
    <t>@917jcekw</t>
  </si>
  <si>
    <t>gH3AxiB2vk3udA7b2tWfErzL9FJfByxyw+biyEi7E4HAgFxX17V+j5TWdBWitpStwEnGcv2IByL3UhawzK2quzBztEpMATnlkgpL8Hn0g8O+3BObJBalV7/nc5StMHSJreGngk7VsdOm0TZBzyzwjQdB04t89/1O/w1cDnyilFU=</t>
  </si>
  <si>
    <t>gate24</t>
  </si>
  <si>
    <t>@412ftjal</t>
  </si>
  <si>
    <t>e2Lr+bCZT84FzeAb+WGgpZo8jurWkMPXkkIJ0CfS6myMKI49DH9iCJe3CmZDg3yLY+qCcgGm1VpHUVxnk993UpLb6CKLqpi7H1rEUYJFYbAwJEg5IHlozilmDz6KtW+lyGH9G7h34YdihX48gWnnvQdB04t89/1O/w1cDnyilFU=</t>
  </si>
  <si>
    <t>gate25</t>
  </si>
  <si>
    <t>gate celo 1</t>
  </si>
  <si>
    <t>@518hhhin</t>
  </si>
  <si>
    <t>6Ih34HUFUuVoPilJhzGYZ/6JwH7MpAAxLQQIEUher2uXC+mfxaJ0A7wf9VMOjUajL2voflL1ZORuYGMt355MH5429p6Zx6WYtkyDQzlVB/r2bxeoRdPUhj91+EzSS/GTe4MM4d9mIchiAWQg0XqlfAdB04t89/1O/w1cDnyilFU=</t>
  </si>
  <si>
    <t>gate celo 2</t>
  </si>
  <si>
    <t>@657ismld</t>
  </si>
  <si>
    <t>im/RUOlb7H/Olp2btrV7LDZlrPv7sDQD0kwop/Gh7DLFeFdJqA2CF5BFGWXFmpDxPg+N3kdoqFxyL9qm97gvLD0JNPxp6XFcZcicdK3THG8R3sTXK/L2C/1Jq/bMvuUjuLeMORyWbuqLZRjimTQ2rQdB04t89/1O/w1cDnyilFU=</t>
  </si>
  <si>
    <t>gate celo 3</t>
  </si>
  <si>
    <t>@510nxjiz</t>
  </si>
  <si>
    <t>RhOpT5obF2L1sb0XabL0P/5BXuE0ycua/HoVnZeZuI7vRX2w8MXeVVgLkFED1SOQ1v9DZMoDHfNUfIiXPxEwd76ZX8DNRroNGIo35sI2bHKTDeVWllAnDqSIBLI+Mhhgu8PVmvps54I9DsB6AvumOwdB04t89/1O/w1cDnyilFU=</t>
  </si>
  <si>
    <t>gate celo 4</t>
  </si>
  <si>
    <t>@138oslea</t>
  </si>
  <si>
    <t>KOrhZbpojoBSM5qIuuMFyQo2iFiwAvaKM+XdTlGAtmztsyw0rTdYjnE4vVrV/v7OLtM3JL5tSnRyDw5QT6yMeEfX8yXy2bR0prAtvXcJcAcqWuVF+V9E0zvhyV6sIFtgSwao8TZ19QPPBfYbFtnwIQdB04t89/1O/w1cDnyilFU=</t>
  </si>
  <si>
    <t>gate celo 5</t>
  </si>
  <si>
    <t>@192puvmb</t>
  </si>
  <si>
    <t>WCegHEhcrDdp4Tjfo+mOoTJD65lmTUMZPSgjrynljTdt4Wb/FkANC5S8N2/NztC5Z5Bjj2GGbQpHzj3+G1LVmYp2C1fADx/z2CxQiZwqui0vyZjvd7hxeVABo+/zFbARZq8gtWgnIWS5e9Y9liBEEAdB04t89/1O/w1cDnyilFU=</t>
  </si>
  <si>
    <t>gate celo 6</t>
  </si>
  <si>
    <t>gate celo 7</t>
  </si>
  <si>
    <t>Gate Celo</t>
  </si>
  <si>
    <t>gate celo 8</t>
  </si>
  <si>
    <t>gate celo 9</t>
  </si>
  <si>
    <t>gate celo 10</t>
  </si>
  <si>
    <t>mxc - celo sol</t>
  </si>
  <si>
    <t>mxc celo1</t>
  </si>
  <si>
    <t>@746vchlt</t>
  </si>
  <si>
    <t>mWJYBZSbJfNdKXv0Xv7LnOunO+C0NG2yLrM/F01lV8hMD2dodGrU5eYbQegA/PYMbkNBzzlrpVVo4Y0PCHxO+o+d+ylFQ2XHnE2oAAeUamw/BYrcpHs4BHfQCuvTOnjjO23L3lZqCpF5+7BCCOdODQdB04t89/1O/w1cDnyilFU=</t>
  </si>
  <si>
    <t>mxc celo2</t>
  </si>
  <si>
    <t>@216nnqxo</t>
  </si>
  <si>
    <t>g09Yr+k+J191ySfDbV1Oe+JJH79MhqR/Cuxb7aQHhb0D/PRRWUVIBpgN6UsF6GGmbWt/geOu2wkJ3EDOuTpLTBsiOvLDUcRzmURU2Q2/sB45ZmrN8tI93xEDWELrR+llTJ6h9QW8Bx/d8xQljLQnywdB04t89/1O/w1cDnyilFU=</t>
  </si>
  <si>
    <t>mxc celo3</t>
  </si>
  <si>
    <t>@622ybkcv</t>
  </si>
  <si>
    <t>+vftMFmzu5uow2SSAP1AETwJ84vzLQt1rKAe/uki2nTyA6szmccYeTHvZyXsMZrug1Vbwt01u/+6JbKMMYGWm0C8TuY/o/L1Bso7VKgW2V8x2YY2LKjIlOXRqqWb5CkAAhxtFkaW0+HXx7m6BflJewdB04t89/1O/w1cDnyilFU=</t>
  </si>
  <si>
    <t>mxc celo4</t>
  </si>
  <si>
    <t>@451vwjof</t>
  </si>
  <si>
    <t>PNEi6tdxmjDQPeIy1sEeMBG3Sa/xC4xiSrh6ICAsue1zfyYyh1zLCsJ0/EKZxFhq7k4kfidDPDLh4z7LROmnVFDh056ZzzxtyGpwd3IklsN6uBIudd2kT6PQpyDpYjq0ZvCqGbyRhOs4Yq5R6YU+yQdB04t89/1O/w1cDnyilFU=</t>
  </si>
  <si>
    <t>mxc celo5</t>
  </si>
  <si>
    <t>@837udqwa</t>
  </si>
  <si>
    <t>r4RHiBGXv6NfWSbhyaaszhHQZ2r0df/5q6L7ke8B2TV7amnnw30DlqIGqAM0NF8LqaKbqHfqRbGGRuRVc1/nYGCseF3qGdBDRiigBtoTOSf+2Ho14eg3Guhz5Zlgf7/TuxlYBbEUnl/OCXyCBxOH9AdB04t89/1O/w1cDnyilFU=</t>
  </si>
  <si>
    <t>mxc celo6</t>
  </si>
  <si>
    <t>@463wakah</t>
  </si>
  <si>
    <t>FHL654Krpu33Xn3V7waWCgiU1Z3QrxyQWS42OTscgn4v3JvgzP+RQYz+HMw86Qlb2V0Xql3bQT1Ow9WvkB111B5tz8Fvejl5gZFQKzbQa1DYUN/Egb8Y81FJKpiufAKdfCAIUV9BbRWJv+w8448zpwdB04t89/1O/w1cDnyilFU=</t>
  </si>
  <si>
    <t>mxc celo7</t>
  </si>
  <si>
    <t>@370cfqui</t>
  </si>
  <si>
    <t>vChV0LP5KpbvMAna57W87WQbr4UxyCKH06RFtlZQBQluJRPKctJsFbJTk2k8fwfyQ6ZgMF92DTUly5hG1+hV2ljQNZ7kff5Nn4hVEpXXqeUHmvf59l8/gKF0opMDKF061F3bXVeSJ1/TpuXVTLrEEQdB04t89/1O/w1cDnyilFU=</t>
  </si>
  <si>
    <t>mxc celo8</t>
  </si>
  <si>
    <t>@014zduqa</t>
  </si>
  <si>
    <t>A3gRZchhStOTwifS6aJOxcZxSEArR1fE2SMZCdUPgqisWmuezSzxssDW3dX8FWd0CtEfnM01qG+xewomgjNpOb6XQBAzFAyspO2S83qE2T6pgg5G9svw2oi7MCxcRntxlCJiuVI7HZmDpjmKr2ipwAdB04t89/1O/w1cDnyilFU=</t>
  </si>
  <si>
    <t>mxc celo9</t>
  </si>
  <si>
    <t>@886iwdqi</t>
  </si>
  <si>
    <t>g49kAuPc7+mKERJ9jF9rSriAYGf7xFJSfrm4V+xoeQ5P1U/li8ZB8fbK03eznAzSC1o8oFlxD8UmMBq5QIz1f2g7QrqTrk+iUjMytaCUy8c/rKcuBAwLMRA7pQLTj8sqEm6+nFn44M9TZ+w1Oo45dwdB04t89/1O/w1cDnyilFU=</t>
  </si>
  <si>
    <t>mxc celo10</t>
  </si>
  <si>
    <t>@280pbjat</t>
  </si>
  <si>
    <t>Q3yU6FKDYDe6j1a3Wt4NO/+I7XQ7XPaUQwETdPEVLMBJmlNP5REXNRqGLkYKe6jCzqzaIvHO6R0QDCjM5mfrC49IiRN4RgZiAQ8DgS+tA3dy10iPBgzM8iPXczgpdMQsmxFTf4iwTjvw2AqYL6iRUgdB04t89/1O/w1cDnyilFU=</t>
  </si>
  <si>
    <t>mxc celo11</t>
  </si>
  <si>
    <t>@530vqhsg</t>
  </si>
  <si>
    <t>o+gsVj/vodXfrIjrZYyUW6YxsXPhdD59scfN8iiORV4JX6tT1ETFKxQy9UwCWqxEn5SqbIxubU9y3elI0MGfJr2iswX8RIuWPC4JMjdjBij2rVEmUlNdAFPoN0Ntq0i2HybZcqBs09AG6OdCl+iNWgdB04t89/1O/w1cDnyilFU=</t>
  </si>
  <si>
    <t>mxc celo12</t>
  </si>
  <si>
    <t>mxc - oct ref</t>
  </si>
  <si>
    <t>mxc oct1</t>
  </si>
  <si>
    <t>@390lgkbh</t>
  </si>
  <si>
    <t>F/z2g7pWTNF3glzFSRbQzm4pzMi6IT7d6UrQA9HKdJAe8If0ZgRRtqxseIznsAQhiFWaUvDEhl0ua7wdvjh0tA0VQWm9eymdJehLcROfzNVvG+9Eb6cd8T7QZvPah4JzNbF+IJvNU6QYRd7tmUGjfwdB04t89/1O/w1cDnyilFU=</t>
  </si>
  <si>
    <t>mxc oct2</t>
  </si>
  <si>
    <t>@526hskib</t>
  </si>
  <si>
    <t>mGqFjXrdyWPaIlClYJuD5uRwmAM9D++1UDfoFuJbKK3S/i3vLx0PaNogTY/C9NOMYqwsVeqLE42yToKhYaMKoCjvJh5/kwBcaZd3vpZmI7i/UYuIEy4ITsOUiIOgtmX/3xs/tMlXlQHzuh2ewqwGNAdB04t89/1O/w1cDnyilFU=</t>
  </si>
  <si>
    <t>mxc oct3</t>
  </si>
  <si>
    <t>@583aisat</t>
  </si>
  <si>
    <t>A/sodty90zlTv4ae63wmQmI9xUaz/RHHogwCPIItaqYFI94X+dgssCpUGiF/9rzBtMDXEe7gxjab9i+UN0wL3c51SXf35P/6EFmsysv90JCOXPY/EWmnrjG9BKfTO13o3iaa5dSiq6BGD/yYOYTMhwdB04t89/1O/w1cDnyilFU=</t>
  </si>
  <si>
    <t>mxc oct4</t>
  </si>
  <si>
    <t>@773ejuqe</t>
  </si>
  <si>
    <t>K/AMEYplfy5rKR/CoB6mNW6SyTWHhD8Oo3bBPoqcLTLIoVYRCOQ5WOogvxiKEGjnHA0LUeAZ6BQllAumy3GE9iSzFrNJh9pRF41zj35nfrQvOgfqhAOJNt3rvNhOLpttD3rCdT7KmgXBBKvLwJJvowdB04t89/1O/w1cDnyilFU=</t>
  </si>
  <si>
    <t>mxc oct5</t>
  </si>
  <si>
    <t>@467mkecp</t>
  </si>
  <si>
    <t>ADs0WZehW5bH7FiLEzpml46D3b5XKf5iQ7iVNqbN6eegCIZ3FEtq5MBtfgxsgJCU9CdtBsf6sgRUfVonGPepXKa0RKjxBbt7fqb3LzsUqypkFY7vYTkH7/AOWyw1T8D0nY5Vq3/d72sr9kphrSidkwdB04t89/1O/w1cDnyilFU=</t>
  </si>
  <si>
    <t>mxc oct6</t>
  </si>
  <si>
    <t>@670ppqvl</t>
  </si>
  <si>
    <t>twXNHnZKA9naQ+QiRf2ThRbYME/L6i1L+xHQlk1iIAWLyERPX64c4Qwwi+lHhyQoPRYX9Ks2Dj/Wx+3srnHqgk6qaXltzEp9em+CI7v3Acahudg/U7RsrHd63+C4AxGI5Mp2n+K+7nqkyrfCFAtdTAdB04t89/1O/w1cDnyilFU=</t>
  </si>
  <si>
    <t>mxc oct7</t>
  </si>
  <si>
    <t>@879gffyn</t>
  </si>
  <si>
    <t>XeJxpGqPtcO9S2bgWoQ7+pf0jasL8PMG38fO1PTj7BKxUpomQNPUZ75+Z/YNtGAoO+EjsZ5mzghfJThksgloeHGO643KJFP9h6hN5QO9Cz0zTP1sih2a5CVJ3La5pyrGC7YZNnjQ3GnDg6BqB8kNPwdB04t89/1O/w1cDnyilFU=</t>
  </si>
  <si>
    <t>mxc oct8</t>
  </si>
  <si>
    <t>@638gfmao</t>
  </si>
  <si>
    <t>0wc0SShZmj3OyIgt67rmgLlfBWtyC5ttHZHwWzOfwQFOtVABl1YW94Oye4vnc9bprfQ6CbnuX+Pwt6TOWYyevkOqgd5p5okO5WineiEK3dc0keZSQ8+1FRl8Cwsl+QX1FUAXWQNUU9W7m06cmhGEjQdB04t89/1O/w1cDnyilFU=</t>
  </si>
  <si>
    <t>mxc oct9</t>
  </si>
  <si>
    <t>@505rzizc</t>
  </si>
  <si>
    <t>Fj+MAnoVjpqKQLnnkLj5j4mBfWKtWze3AOL9OBAke6gTPU1tMfaznDGXcffAK4+gIpml1a5HKwIvcsHuLwGohHPY3gJRj2FFPrmxt6ruvP/GyOpIDav74dCxY6K8wvWjvxklIUVAaQfC/SIly5DkfAdB04t89/1O/w1cDnyilFU=</t>
  </si>
  <si>
    <t>mxc oct10</t>
  </si>
  <si>
    <t>@679lhgyj</t>
  </si>
  <si>
    <t>5HurO3hfpt+2wCkiW/rGiB2fdw2wbcEDGKi5E62eShnlPGbF71POur8IG4ZXVNERTGW7rrquY1rBdoxyqNoYGxfdaENtUolln6orhuJr+QBqMnV8vOUvkgsATqDSgLscUSLk//s4gudv7GBesrkMwAdB04t89/1O/w1cDnyilFU=</t>
  </si>
  <si>
    <t>mxc oct11</t>
  </si>
  <si>
    <t>@421cboqw</t>
  </si>
  <si>
    <t>YC5bdTbt1gVvJBAN3uTu40VJ+uDWc4RuJW07lyS1LVDzpqxJPRLLmz1tgAXmO8UikMek4esIVNbL5FDLgU1Na5JgX8vPmmi9x6PzduXzY3Qq0Xon3WbgbZvQA5/rG7nqnj8QC2ElOruycGDDAqSoSgdB04t89/1O/w1cDnyilFU=</t>
  </si>
  <si>
    <t>mxc oct12</t>
  </si>
  <si>
    <t>@573ngiwr</t>
  </si>
  <si>
    <t>xqH17RlDHxtk+JRbfcfqSDl2EavUeHVz6S/ofztNb2YjPFD60UfUtWhU1CbuJQCUv2cEjjR9cXAk4Mw+yM7fMDp9zRBtMR9rV5IuxfTCA9Jf163Kyodp4SibEMnch431E2K8NF0GBTtIYnDGEr4/wAdB04t89/1O/w1cDnyilFU=</t>
  </si>
  <si>
    <t>mxc oct13</t>
  </si>
  <si>
    <t>@460owlxc</t>
  </si>
  <si>
    <t>m/fzeZ0HV5lwePUFawmcO+w4EhRCm3feVRC4NwAXHDXVOY0ZF0ewUL6xcDtOJjo89OxOFeSdww+HhjP7q5Ig7OgDMJ8iFQnDOjYLgggVmX6RCxA1wamZ4BboraaE7zwryr3+2jcvCBUsmIaY6Tmu2wdB04t89/1O/w1cDnyilFU=</t>
  </si>
  <si>
    <t>mxc oct14</t>
  </si>
  <si>
    <t>@274jdvit</t>
  </si>
  <si>
    <t>zlL8Ttjuc/wV3gjm/+YCbMPMA9wTEf+0FyYPQsPv4c5I32g0ST6ADcefk1mH+r+PHapljLvbk8Zew/u5GRc5r5LQ/C4HQwPHWjX/vXVOna7Go7ldakoy4pZg0mebFTv759NgugAXrSl/6JrmLL0D/wdB04t89/1O/w1cDnyilFU=</t>
  </si>
  <si>
    <t>mxc oct15</t>
  </si>
  <si>
    <t>@859prnib</t>
  </si>
  <si>
    <t>2fcSCvnXaAxZrGnBl/gfGaCg1u4wFMvwMMMD/3S4Gm6R0ucn3q0eUkE2SDHTLetOdgHTea9h3Y3fT+29fTEyPGD5f4e4F+FZnWqV1OhzdYxvvk8/jDWb7G11SRHBZ/OM/yj/qzGUUTBBVGaUH17hMAdB04t89/1O/w1cDnyilFU=</t>
  </si>
  <si>
    <t>mxc oct16</t>
  </si>
  <si>
    <t>@850gswss</t>
  </si>
  <si>
    <t>mWFGnCFySfMvUA8fqgH0itcjpuBMqA60jDUMsPwN96cx9Pgo6wzJbYCOQVr9uXGSsEm7DCYZKvfoh3kaFWEp9tn3xQVknIwYXtx+Sp6Mfbz8ezak2BxZvYVR9da12nTV1htEUFZGq9T9kTWi1SFb1gdB04t89/1O/w1cDnyilFU=</t>
  </si>
  <si>
    <t>mxc oct17</t>
  </si>
  <si>
    <t>@546mpmqd</t>
  </si>
  <si>
    <t>OOClKPJe7nLqX6Ra2/9tpGEOZXHfk6MdFfMGXjzJdMK+gpRq2vOprPqZlezx1tZpx2i8e7P0P/uknePmw2CWD2a+G1whuc9W+0ozzl5hTNaYPpGZYxAmXu+bkXpf27kCb+LoI0bYarjPaukJ6y+hVQdB04t89/1O/w1cDnyilFU=</t>
  </si>
  <si>
    <t>mxc oct18</t>
  </si>
  <si>
    <t>@542vupmv</t>
  </si>
  <si>
    <t>nRWxVqsduRMyGgOS9M5mTnMC1jji9wBayl9iKETRW3XclGbQ0xJnJOnhNvbM6mXSyKcHjsEaILik2gjcMhtK1bR+YQG5tk4EQyMG7AKK/FedaRRORQPm0Kr1rjjJAcUu/49sdAjnnvb5b8YFow0GRQdB04t89/1O/w1cDnyilFU=</t>
  </si>
  <si>
    <t>mxc oct19</t>
  </si>
  <si>
    <t>mxc - paras</t>
  </si>
  <si>
    <t>mxc paras1</t>
  </si>
  <si>
    <t>@175dcvjq</t>
  </si>
  <si>
    <t>4no/DYhYF+Lbppi0nImrEbEewyzuh2i3Znog4b78lIFA/4+vcdDmCIMkE2JG5LTK23vrByjXl6QFXZY2HCI/YhAfD3+1w2wqZOCs5yke5uCtdhTfr2s3FSPMa2rLUXhEpLFI+cx/beMfXpryTyCNowdB04t89/1O/w1cDnyilFU=</t>
  </si>
  <si>
    <t>mxc paras2</t>
  </si>
  <si>
    <t>@828nolfl</t>
  </si>
  <si>
    <t>R1oxdkjBjDSz2W874vh5CY7c2wq8LNz3xN8ZsxFIaZGXM76riG7bKRFz+d5U0J5aIUpVQHxc4IUzfZvIy/2bQLQfVTPEPxgGgZOKLFrR7PZQNAYH3YyfDyHkfc/wX00T2+kpscBzjYVZh3CkGjHQIgdB04t89/1O/w1cDnyilFU=</t>
  </si>
  <si>
    <t>mxc paras3</t>
  </si>
  <si>
    <t>@099haysz</t>
  </si>
  <si>
    <t>AEujMtjS97TQWOf4H144qZHtpXdlR6gVkKkIhAdA9FI/DPd+M0vubE9hkepHu6JfaPPJSrTfxgnWUJttY6Kz7Re/+C3WOWFqGdNEK//AqgAn0wdcRaKJGTIl1qgBJkz6JLH+Fpl7M+6zBmq4s4R+bAdB04t89/1O/w1cDnyilFU=</t>
  </si>
  <si>
    <t>mxc paras4</t>
  </si>
  <si>
    <t>@836gjnxy</t>
  </si>
  <si>
    <t>e/8A8Gbssg8VlaYi4+ru1w7+nlS07y5GN67RiuUk7Vgcb+ttFRxjxskz9yA3wAprylwY/4DFYN9ZHkK7Qv+MbWr7qrtSfYmgYzJMDc/r+C639VLXtekaqzykp3SKkMFl3awLSvRBBaCQMu0DTTJQKgdB04t89/1O/w1cDnyilFU=</t>
  </si>
  <si>
    <t>mxc paras5</t>
  </si>
  <si>
    <t>@865ycbxh</t>
  </si>
  <si>
    <t>WM4N4ODQyjdsPkXmUkajpZg4LJ8yeg6H4lmmLI438mQdWZCDzw/nUuRwrzrar6j9zw4EDSja8sINUuaFH13iox13K87ZF7whoNB41tJuvukA64oVkroYgS+lTE5UK7WQFUTJ4AojRKzUrP9obeOouwdB04t89/1O/w1cDnyilFU=</t>
  </si>
  <si>
    <t>mxc paras6</t>
  </si>
  <si>
    <t>@417qtaou</t>
  </si>
  <si>
    <t>fTpeD/Aor/lLS/NQXz/qSsyxhZWhhHAFkcANcmsozo9ZwC8zRbwnoW/Q5ewkkVohr5UkJov5vu3A1tHccx68pmqRYY0Yr33EnIv1yqkUrA2YvuT9yqV5M3ElQksY6DOtusYeYk+bk6qH74GdNx2B4AdB04t89/1O/w1cDnyilFU=</t>
  </si>
  <si>
    <t>mxc paras7</t>
  </si>
  <si>
    <t>@810ovjaw</t>
  </si>
  <si>
    <t>jyqes8Ep1y8w7exvN4MyFvGvLWOzeFKyYGZIpeJzl6XdN2SRz+FVhzJC/Ndr0NN9W4Es+ncFoGl9OXkvzUhuXc64cAkvhpFGw/tgnvhQF1sMU1oSftwodEOOxk/0k1qYfjR481kGbNUGDdkxpuYmvgdB04t89/1O/w1cDnyilFU=</t>
  </si>
  <si>
    <t>mxc paras8</t>
  </si>
  <si>
    <t>@378jcigl</t>
  </si>
  <si>
    <t>KEmKYVPe69BW6V8ndmJoIuCo0cPQfUr9cFiDQSu+yZRj/HoDnzh1E7x6yZUwlT77xYaB+I1XmobaL8xvohNbHEJPtxaE7o0AGJmYKixKEoo/IXlyFDyk2lUU7OYROLXZ9ww9hi8QM9dakeaaE74XbQdB04t89/1O/w1cDnyilFU=</t>
  </si>
  <si>
    <t>cổ tức</t>
  </si>
  <si>
    <t>Bot trả lương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</si>
</sst>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6" formatCode="0.000%"/>
  </numFmts>
  <fonts count="20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163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11"/>
      <color theme="1"/>
      <name val="ＭＳ Ｐゴシック"/>
      <family val="2"/>
      <charset val="128"/>
    </font>
    <font>
      <b/>
      <sz val="11"/>
      <color theme="1"/>
      <name val="Calibri"/>
      <family val="3"/>
      <charset val="163"/>
    </font>
    <font>
      <sz val="11"/>
      <color theme="1"/>
      <name val="Calibri"/>
      <family val="2"/>
      <charset val="163"/>
    </font>
    <font>
      <sz val="11"/>
      <color theme="1"/>
      <name val="Segoe UI"/>
      <family val="2"/>
      <charset val="238"/>
    </font>
    <font>
      <b/>
      <sz val="11"/>
      <color theme="1"/>
      <name val="Calibri"/>
      <family val="2"/>
      <charset val="163"/>
    </font>
    <font>
      <sz val="11"/>
      <name val="Calibri"/>
      <family val="2"/>
      <charset val="163"/>
      <scheme val="minor"/>
    </font>
    <font>
      <sz val="1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charset val="163"/>
      <scheme val="minor"/>
    </font>
    <font>
      <sz val="10"/>
      <color rgb="FF495057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A9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4" borderId="1" xfId="0" applyFont="1" applyFill="1" applyBorder="1" applyAlignment="1">
      <alignment horizontal="left" vertical="center"/>
    </xf>
    <xf numFmtId="0" fontId="4" fillId="5" borderId="13" xfId="0" applyFont="1" applyFill="1" applyBorder="1" applyAlignment="1">
      <alignment horizontal="center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5" xfId="0" applyFill="1" applyBorder="1"/>
    <xf numFmtId="0" fontId="0" fillId="2" borderId="13" xfId="0" applyFill="1" applyBorder="1"/>
    <xf numFmtId="0" fontId="0" fillId="0" borderId="11" xfId="0" applyBorder="1"/>
    <xf numFmtId="22" fontId="0" fillId="0" borderId="0" xfId="0" applyNumberFormat="1"/>
    <xf numFmtId="0" fontId="8" fillId="0" borderId="0" xfId="0" applyFont="1"/>
    <xf numFmtId="10" fontId="0" fillId="0" borderId="0" xfId="1" applyNumberFormat="1" applyFont="1"/>
    <xf numFmtId="166" fontId="0" fillId="0" borderId="0" xfId="1" applyNumberFormat="1" applyFont="1" applyAlignment="1"/>
    <xf numFmtId="0" fontId="0" fillId="0" borderId="0" xfId="0" applyFill="1" applyBorder="1" applyAlignment="1">
      <alignment wrapText="1"/>
    </xf>
    <xf numFmtId="0" fontId="0" fillId="6" borderId="0" xfId="0" applyFill="1"/>
    <xf numFmtId="0" fontId="1" fillId="5" borderId="0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2" fontId="0" fillId="7" borderId="1" xfId="0" applyNumberForma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left" vertical="center"/>
    </xf>
    <xf numFmtId="0" fontId="15" fillId="7" borderId="1" xfId="0" applyFont="1" applyFill="1" applyBorder="1" applyAlignment="1">
      <alignment horizontal="left" vertical="center"/>
    </xf>
    <xf numFmtId="0" fontId="1" fillId="5" borderId="3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10" fontId="0" fillId="7" borderId="1" xfId="1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3" borderId="4" xfId="0" applyNumberFormat="1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vertical="center" wrapText="1"/>
    </xf>
    <xf numFmtId="9" fontId="1" fillId="3" borderId="1" xfId="1" applyFont="1" applyFill="1" applyBorder="1" applyAlignment="1">
      <alignment horizontal="center" vertical="center" wrapText="1"/>
    </xf>
    <xf numFmtId="9" fontId="1" fillId="3" borderId="1" xfId="1" applyFont="1" applyFill="1" applyBorder="1" applyAlignment="1">
      <alignment vertical="center" wrapText="1"/>
    </xf>
    <xf numFmtId="164" fontId="1" fillId="3" borderId="2" xfId="0" applyNumberFormat="1" applyFont="1" applyFill="1" applyBorder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164" fontId="17" fillId="4" borderId="1" xfId="0" applyNumberFormat="1" applyFont="1" applyFill="1" applyBorder="1" applyAlignment="1">
      <alignment horizontal="center" vertical="center"/>
    </xf>
    <xf numFmtId="164" fontId="17" fillId="4" borderId="1" xfId="2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64" fontId="18" fillId="4" borderId="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7" borderId="1" xfId="0" applyFill="1" applyBorder="1" applyAlignment="1">
      <alignment horizontal="left" vertical="center" wrapText="1"/>
    </xf>
    <xf numFmtId="10" fontId="0" fillId="0" borderId="0" xfId="0" applyNumberFormat="1" applyAlignment="1">
      <alignment horizontal="center" vertical="center" wrapText="1"/>
    </xf>
    <xf numFmtId="0" fontId="0" fillId="9" borderId="1" xfId="0" applyFill="1" applyBorder="1" applyAlignment="1">
      <alignment horizontal="left" vertical="center" wrapText="1"/>
    </xf>
    <xf numFmtId="10" fontId="0" fillId="9" borderId="1" xfId="1" applyNumberFormat="1" applyFont="1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2" fontId="1" fillId="3" borderId="1" xfId="1" applyNumberFormat="1" applyFont="1" applyFill="1" applyBorder="1" applyAlignment="1">
      <alignment horizontal="center" vertical="center" wrapText="1"/>
    </xf>
    <xf numFmtId="2" fontId="18" fillId="4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6" fillId="0" borderId="0" xfId="0" applyFont="1"/>
    <xf numFmtId="0" fontId="0" fillId="2" borderId="1" xfId="0" applyFill="1" applyBorder="1" applyAlignment="1">
      <alignment horizontal="left" vertical="center"/>
    </xf>
    <xf numFmtId="0" fontId="19" fillId="2" borderId="1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19" fillId="0" borderId="0" xfId="0" applyFont="1"/>
    <xf numFmtId="0" fontId="0" fillId="10" borderId="1" xfId="0" applyFill="1" applyBorder="1" applyAlignment="1">
      <alignment horizontal="left" vertical="center"/>
    </xf>
    <xf numFmtId="0" fontId="19" fillId="10" borderId="1" xfId="0" applyFont="1" applyFill="1" applyBorder="1" applyAlignment="1">
      <alignment horizontal="left" vertical="center"/>
    </xf>
    <xf numFmtId="0" fontId="0" fillId="10" borderId="0" xfId="0" applyFill="1"/>
    <xf numFmtId="0" fontId="16" fillId="10" borderId="7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/>
    </xf>
    <xf numFmtId="0" fontId="19" fillId="11" borderId="1" xfId="0" applyFont="1" applyFill="1" applyBorder="1" applyAlignment="1">
      <alignment horizontal="left" vertical="center"/>
    </xf>
    <xf numFmtId="0" fontId="0" fillId="11" borderId="0" xfId="0" applyFill="1"/>
    <xf numFmtId="0" fontId="4" fillId="5" borderId="13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3" borderId="5" xfId="0" applyNumberFormat="1" applyFont="1" applyFill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 wrapText="1"/>
    </xf>
    <xf numFmtId="164" fontId="1" fillId="0" borderId="10" xfId="0" applyNumberFormat="1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4" fontId="1" fillId="0" borderId="15" xfId="0" applyNumberFormat="1" applyFont="1" applyBorder="1" applyAlignment="1">
      <alignment horizontal="center" vertical="center" wrapText="1"/>
    </xf>
    <xf numFmtId="164" fontId="1" fillId="0" borderId="5" xfId="0" applyNumberFormat="1" applyFont="1" applyBorder="1" applyAlignment="1">
      <alignment horizontal="center" vertical="center" wrapText="1"/>
    </xf>
    <xf numFmtId="164" fontId="1" fillId="0" borderId="13" xfId="0" applyNumberFormat="1" applyFont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164" fontId="16" fillId="3" borderId="1" xfId="0" applyNumberFormat="1" applyFont="1" applyFill="1" applyBorder="1" applyAlignment="1">
      <alignment horizontal="center" vertical="center"/>
    </xf>
    <xf numFmtId="164" fontId="16" fillId="3" borderId="4" xfId="0" applyNumberFormat="1" applyFont="1" applyFill="1" applyBorder="1" applyAlignment="1">
      <alignment horizontal="center" vertical="center"/>
    </xf>
    <xf numFmtId="164" fontId="16" fillId="3" borderId="12" xfId="0" applyNumberFormat="1" applyFont="1" applyFill="1" applyBorder="1" applyAlignment="1">
      <alignment horizontal="center" vertical="center"/>
    </xf>
    <xf numFmtId="164" fontId="16" fillId="3" borderId="6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164" fontId="16" fillId="3" borderId="9" xfId="0" applyNumberFormat="1" applyFont="1" applyFill="1" applyBorder="1" applyAlignment="1">
      <alignment horizontal="center" vertical="center" wrapText="1"/>
    </xf>
    <xf numFmtId="164" fontId="16" fillId="3" borderId="10" xfId="0" applyNumberFormat="1" applyFont="1" applyFill="1" applyBorder="1" applyAlignment="1">
      <alignment horizontal="center" vertical="center" wrapText="1"/>
    </xf>
    <xf numFmtId="164" fontId="16" fillId="3" borderId="13" xfId="0" applyNumberFormat="1" applyFont="1" applyFill="1" applyBorder="1" applyAlignment="1">
      <alignment horizontal="center" vertical="center" wrapText="1"/>
    </xf>
    <xf numFmtId="164" fontId="16" fillId="3" borderId="11" xfId="0" applyNumberFormat="1" applyFont="1" applyFill="1" applyBorder="1" applyAlignment="1">
      <alignment horizontal="center" vertical="center" wrapText="1"/>
    </xf>
    <xf numFmtId="164" fontId="4" fillId="2" borderId="4" xfId="0" applyNumberFormat="1" applyFont="1" applyFill="1" applyBorder="1" applyAlignment="1">
      <alignment horizontal="center" vertical="center"/>
    </xf>
    <xf numFmtId="164" fontId="4" fillId="2" borderId="12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/>
    </xf>
    <xf numFmtId="164" fontId="1" fillId="3" borderId="12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1" fillId="3" borderId="4" xfId="0" applyNumberFormat="1" applyFont="1" applyFill="1" applyBorder="1" applyAlignment="1">
      <alignment horizontal="center" vertical="center" wrapText="1"/>
    </xf>
    <xf numFmtId="164" fontId="1" fillId="3" borderId="12" xfId="0" applyNumberFormat="1" applyFont="1" applyFill="1" applyBorder="1" applyAlignment="1">
      <alignment horizontal="center" vertical="center" wrapText="1"/>
    </xf>
    <xf numFmtId="164" fontId="1" fillId="3" borderId="6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7" xfId="0" applyNumberFormat="1" applyFont="1" applyFill="1" applyBorder="1" applyAlignment="1">
      <alignment horizontal="center" vertical="center" wrapText="1"/>
    </xf>
    <xf numFmtId="2" fontId="1" fillId="3" borderId="3" xfId="0" applyNumberFormat="1" applyFont="1" applyFill="1" applyBorder="1" applyAlignment="1">
      <alignment horizontal="center" vertical="center" wrapText="1"/>
    </xf>
    <xf numFmtId="2" fontId="1" fillId="3" borderId="7" xfId="0" applyNumberFormat="1" applyFont="1" applyFill="1" applyBorder="1" applyAlignment="1">
      <alignment horizontal="center" vertical="center" wrapText="1"/>
    </xf>
    <xf numFmtId="2" fontId="1" fillId="3" borderId="2" xfId="0" applyNumberFormat="1" applyFont="1" applyFill="1" applyBorder="1" applyAlignment="1">
      <alignment horizontal="center" vertical="center" wrapText="1"/>
    </xf>
    <xf numFmtId="9" fontId="1" fillId="3" borderId="4" xfId="1" applyFont="1" applyFill="1" applyBorder="1" applyAlignment="1">
      <alignment horizontal="center" vertical="center" wrapText="1"/>
    </xf>
    <xf numFmtId="9" fontId="1" fillId="3" borderId="6" xfId="1" applyFont="1" applyFill="1" applyBorder="1" applyAlignment="1">
      <alignment horizontal="center" vertical="center" wrapText="1"/>
    </xf>
    <xf numFmtId="164" fontId="16" fillId="3" borderId="1" xfId="0" applyNumberFormat="1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16" fillId="10" borderId="3" xfId="0" applyFont="1" applyFill="1" applyBorder="1" applyAlignment="1">
      <alignment horizontal="center" vertical="center" wrapText="1"/>
    </xf>
    <xf numFmtId="0" fontId="16" fillId="10" borderId="7" xfId="0" applyFont="1" applyFill="1" applyBorder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16" fillId="11" borderId="3" xfId="0" applyFont="1" applyFill="1" applyBorder="1" applyAlignment="1">
      <alignment horizontal="center" vertical="center" wrapText="1"/>
    </xf>
    <xf numFmtId="0" fontId="16" fillId="11" borderId="7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64" fontId="1" fillId="3" borderId="8" xfId="0" applyNumberFormat="1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 wrapText="1"/>
    </xf>
    <xf numFmtId="9" fontId="1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A9FCC"/>
      <color rgb="FF898600"/>
      <color rgb="FFFFF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39426</xdr:colOff>
      <xdr:row>18</xdr:row>
      <xdr:rowOff>55990</xdr:rowOff>
    </xdr:from>
    <xdr:to>
      <xdr:col>22</xdr:col>
      <xdr:colOff>252786</xdr:colOff>
      <xdr:row>30</xdr:row>
      <xdr:rowOff>109330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D395799A-08AF-4387-ABDC-811D47799DD3}"/>
            </a:ext>
          </a:extLst>
        </xdr:cNvPr>
        <xdr:cNvSpPr/>
      </xdr:nvSpPr>
      <xdr:spPr>
        <a:xfrm>
          <a:off x="12224800" y="3455173"/>
          <a:ext cx="2651760" cy="2279705"/>
        </a:xfrm>
        <a:prstGeom prst="wedgeRectCallout">
          <a:avLst>
            <a:gd name="adj1" fmla="val -61350"/>
            <a:gd name="adj2" fmla="val -600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Sẫm</a:t>
          </a:r>
          <a:r>
            <a:rPr kumimoji="1" lang="en-US" altLang="ja-JP" sz="1100" baseline="0"/>
            <a:t> màu là dữ liệu liên kết sheet</a:t>
          </a:r>
          <a:endParaRPr kumimoji="1" lang="en-US" altLang="ja-JP" sz="1100"/>
        </a:p>
        <a:p>
          <a:pPr algn="l"/>
          <a:r>
            <a:rPr kumimoji="1" lang="en-US" altLang="ja-JP" sz="1100"/>
            <a:t>1&gt; Copy</a:t>
          </a:r>
          <a:r>
            <a:rPr kumimoji="1" lang="en-US" altLang="ja-JP" sz="1100" baseline="0"/>
            <a:t> lợi tức vào hàng 4</a:t>
          </a:r>
        </a:p>
        <a:p>
          <a:pPr algn="l"/>
          <a:r>
            <a:rPr kumimoji="1" lang="en-US" altLang="ja-JP" sz="1100" baseline="0"/>
            <a:t>2&gt; Xác nhận số LPB trong công thức ở cột C OK xong.</a:t>
          </a:r>
        </a:p>
        <a:p>
          <a:pPr algn="l"/>
          <a:r>
            <a:rPr kumimoji="1" lang="en-US" altLang="ja-JP" sz="1100" baseline="0"/>
            <a:t>3&gt;Copy LPB sở hữu cột C vào mỗi tuần tương ứng.</a:t>
          </a:r>
          <a:r>
            <a:rPr kumimoji="1" lang="ja-JP" altLang="en-US" sz="1100" baseline="0"/>
            <a:t> </a:t>
          </a:r>
          <a:r>
            <a:rPr kumimoji="1" lang="en-US" altLang="ja-JP" sz="1100" baseline="0"/>
            <a:t>(Copy, Ctrl+Alt+V -&gt; Value:</a:t>
          </a:r>
        </a:p>
        <a:p>
          <a:pPr algn="l"/>
          <a:r>
            <a:rPr kumimoji="1" lang="en-US" altLang="ja-JP" sz="1100" baseline="0"/>
            <a:t>Không copy công thức, chỉ copy giá trị để lưu lịch sử.)</a:t>
          </a:r>
        </a:p>
        <a:p>
          <a:pPr algn="l"/>
          <a:endParaRPr kumimoji="1" lang="en-US" altLang="ja-JP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651A8AFE-6118-5F71-B777-A885FD67BAEF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LPB</a:t>
          </a:r>
          <a:endParaRPr kumimoji="1" lang="ja-JP" altLang="en-US" sz="1100"/>
        </a:p>
      </xdr:txBody>
    </xdr:sp>
    <xdr:clientData/>
  </xdr:twoCellAnchor>
  <xdr:twoCellAnchor>
    <xdr:from>
      <xdr:col>12</xdr:col>
      <xdr:colOff>396240</xdr:colOff>
      <xdr:row>7</xdr:row>
      <xdr:rowOff>60960</xdr:rowOff>
    </xdr:from>
    <xdr:to>
      <xdr:col>16</xdr:col>
      <xdr:colOff>106680</xdr:colOff>
      <xdr:row>22</xdr:row>
      <xdr:rowOff>83820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2C210785-3313-7D04-481D-70C385DD2932}"/>
            </a:ext>
          </a:extLst>
        </xdr:cNvPr>
        <xdr:cNvSpPr/>
      </xdr:nvSpPr>
      <xdr:spPr>
        <a:xfrm>
          <a:off x="10690860" y="176784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Cach dung: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1&gt; google install npm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2&gt;Cai near-cli bang cmd: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yarn</a:t>
          </a: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near-cli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3&gt; Bam nut [Reload LPB]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Macro se read dia chi vi trong blockchain, write vao vung mau Yellow</a:t>
          </a:r>
          <a:endParaRPr lang="ja-JP" altLang="ja-JP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NEAR" textlink="">
      <xdr:nvSpPr>
        <xdr:cNvPr id="2" name="正方形/長方形 1">
          <a:extLst>
            <a:ext uri="{FF2B5EF4-FFF2-40B4-BE49-F238E27FC236}">
              <a16:creationId xmlns:a16="http://schemas.microsoft.com/office/drawing/2014/main" id="{E0AE7802-68D4-4946-92D1-6E1320553F68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Coin</a:t>
          </a:r>
          <a:endParaRPr kumimoji="1" lang="ja-JP" altLang="en-US" sz="1100"/>
        </a:p>
      </xdr:txBody>
    </xdr:sp>
    <xdr:clientData/>
  </xdr:twoCellAnchor>
  <xdr:twoCellAnchor>
    <xdr:from>
      <xdr:col>10</xdr:col>
      <xdr:colOff>114300</xdr:colOff>
      <xdr:row>5</xdr:row>
      <xdr:rowOff>99060</xdr:rowOff>
    </xdr:from>
    <xdr:to>
      <xdr:col>12</xdr:col>
      <xdr:colOff>670560</xdr:colOff>
      <xdr:row>20</xdr:row>
      <xdr:rowOff>121920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FEDEB8A8-1152-4E7E-9685-41AAC911EB82}"/>
            </a:ext>
          </a:extLst>
        </xdr:cNvPr>
        <xdr:cNvSpPr/>
      </xdr:nvSpPr>
      <xdr:spPr>
        <a:xfrm>
          <a:off x="9654540" y="147066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Cach dung:</a:t>
          </a:r>
        </a:p>
        <a:p>
          <a:pPr algn="l"/>
          <a:r>
            <a:rPr kumimoji="1" lang="en-US" altLang="ja-JP" sz="1100"/>
            <a:t>1&gt; google install npm</a:t>
          </a:r>
        </a:p>
        <a:p>
          <a:pPr algn="l"/>
          <a:r>
            <a:rPr kumimoji="1" lang="en-US" altLang="ja-JP" sz="1100"/>
            <a:t>2&gt;Cai near-cli bang cmd:</a:t>
          </a:r>
        </a:p>
        <a:p>
          <a:pPr algn="l"/>
          <a:r>
            <a:rPr kumimoji="1" lang="en-US" altLang="ja-JP" sz="1100"/>
            <a:t>     &gt;npm install -g yarn</a:t>
          </a:r>
        </a:p>
        <a:p>
          <a:pPr algn="l"/>
          <a:r>
            <a:rPr kumimoji="1" lang="en-US" altLang="ja-JP" sz="1100"/>
            <a:t>     &gt;yarn</a:t>
          </a:r>
        </a:p>
        <a:p>
          <a:pPr algn="l"/>
          <a:r>
            <a:rPr kumimoji="1" lang="en-US" altLang="ja-JP" sz="1100"/>
            <a:t>     &gt;npm install -g near-cli</a:t>
          </a:r>
        </a:p>
        <a:p>
          <a:pPr algn="l"/>
          <a:r>
            <a:rPr kumimoji="1" lang="en-US" altLang="ja-JP" sz="1100"/>
            <a:t>3&gt; Khởi</a:t>
          </a:r>
          <a:r>
            <a:rPr kumimoji="1" lang="en-US" altLang="ja-JP" sz="1100" baseline="0"/>
            <a:t> động lại cái excel này</a:t>
          </a:r>
          <a:endParaRPr kumimoji="1" lang="en-US" altLang="ja-JP" sz="1100"/>
        </a:p>
        <a:p>
          <a:pPr algn="l"/>
          <a:r>
            <a:rPr kumimoji="1" lang="en-US" altLang="ja-JP" sz="1100"/>
            <a:t>3&gt; Bam nut [Reload LPB]</a:t>
          </a:r>
        </a:p>
        <a:p>
          <a:pPr algn="l"/>
          <a:r>
            <a:rPr kumimoji="1" lang="en-US" altLang="ja-JP" sz="1100"/>
            <a:t>   Macro se read dia chi vi trong blockchain, write vao vung mau Yellow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48AA1-D1EA-45A9-9302-9121DF5F6A14}">
  <sheetPr codeName="Sheet2"/>
  <dimension ref="A1:AA26"/>
  <sheetViews>
    <sheetView zoomScale="115" zoomScaleNormal="115" workbookViewId="0">
      <pane xSplit="4" ySplit="5" topLeftCell="I6" activePane="bottomRight" state="frozen"/>
      <selection pane="topRight" activeCell="D1" sqref="D1"/>
      <selection pane="bottomLeft" activeCell="A5" sqref="A5"/>
      <selection pane="bottomRight" activeCell="J19" sqref="J19"/>
    </sheetView>
  </sheetViews>
  <sheetFormatPr defaultRowHeight="14.4"/>
  <cols>
    <col min="1" max="1" width="10.5546875" style="1" customWidth="1"/>
    <col min="2" max="2" width="18.109375" style="1" customWidth="1"/>
    <col min="3" max="3" width="8.33203125" style="1" customWidth="1"/>
    <col min="4" max="4" width="9.33203125" style="1" customWidth="1"/>
    <col min="5" max="5" width="8.88671875" style="1"/>
    <col min="6" max="6" width="11.44140625" style="1" bestFit="1" customWidth="1"/>
    <col min="7" max="7" width="11.44140625" style="1" customWidth="1"/>
    <col min="8" max="8" width="10.77734375" style="1" customWidth="1"/>
    <col min="9" max="9" width="8.88671875" style="1"/>
    <col min="10" max="10" width="12" style="1" bestFit="1" customWidth="1"/>
    <col min="11" max="16384" width="8.88671875" style="1"/>
  </cols>
  <sheetData>
    <row r="1" spans="1:27" s="4" customFormat="1" ht="18">
      <c r="B1" s="89" t="s">
        <v>10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</row>
    <row r="2" spans="1:27" s="4" customFormat="1" ht="16.2" customHeight="1">
      <c r="B2" s="92" t="s">
        <v>9</v>
      </c>
      <c r="C2" s="35" t="s">
        <v>65</v>
      </c>
      <c r="D2" s="35"/>
      <c r="E2" s="90">
        <v>1</v>
      </c>
      <c r="F2" s="91"/>
      <c r="G2" s="90">
        <v>2</v>
      </c>
      <c r="H2" s="91"/>
      <c r="I2" s="90">
        <v>3</v>
      </c>
      <c r="J2" s="91"/>
      <c r="K2" s="90">
        <v>4</v>
      </c>
      <c r="L2" s="91"/>
      <c r="M2" s="90">
        <v>5</v>
      </c>
      <c r="N2" s="91"/>
      <c r="O2" s="90">
        <v>6</v>
      </c>
      <c r="P2" s="91"/>
      <c r="Q2" s="90">
        <v>7</v>
      </c>
      <c r="R2" s="91"/>
      <c r="S2" s="90">
        <v>8</v>
      </c>
      <c r="T2" s="91"/>
      <c r="U2" s="90">
        <v>9</v>
      </c>
      <c r="V2" s="91"/>
      <c r="W2" s="11"/>
      <c r="X2" s="11"/>
      <c r="Y2" s="11"/>
      <c r="Z2" s="11"/>
      <c r="AA2" s="11"/>
    </row>
    <row r="3" spans="1:27" s="4" customFormat="1" ht="16.2" customHeight="1">
      <c r="B3" s="141"/>
      <c r="C3" s="35"/>
      <c r="D3" s="35"/>
      <c r="E3" s="87"/>
      <c r="F3" s="88"/>
      <c r="G3" s="87"/>
      <c r="H3" s="88"/>
      <c r="I3" s="2" t="s">
        <v>417</v>
      </c>
      <c r="J3" s="2">
        <v>87.5</v>
      </c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86"/>
      <c r="Y3" s="86"/>
      <c r="Z3" s="86"/>
      <c r="AA3" s="86"/>
    </row>
    <row r="4" spans="1:27" s="3" customFormat="1" ht="28.8">
      <c r="B4" s="93"/>
      <c r="C4" s="36" t="s">
        <v>63</v>
      </c>
      <c r="D4" s="2" t="s">
        <v>67</v>
      </c>
      <c r="E4" s="2" t="s">
        <v>64</v>
      </c>
      <c r="F4" s="2" t="s">
        <v>66</v>
      </c>
      <c r="G4" s="2" t="s">
        <v>64</v>
      </c>
      <c r="H4" s="2" t="s">
        <v>66</v>
      </c>
      <c r="I4" s="2" t="s">
        <v>64</v>
      </c>
      <c r="J4" s="2" t="s">
        <v>66</v>
      </c>
      <c r="K4" s="2" t="s">
        <v>64</v>
      </c>
      <c r="L4" s="2" t="s">
        <v>66</v>
      </c>
      <c r="M4" s="2" t="s">
        <v>64</v>
      </c>
      <c r="N4" s="2" t="s">
        <v>66</v>
      </c>
      <c r="O4" s="2" t="s">
        <v>64</v>
      </c>
      <c r="P4" s="2" t="s">
        <v>66</v>
      </c>
      <c r="Q4" s="2" t="s">
        <v>64</v>
      </c>
      <c r="R4" s="2" t="s">
        <v>66</v>
      </c>
      <c r="S4" s="2" t="s">
        <v>64</v>
      </c>
      <c r="T4" s="2" t="s">
        <v>66</v>
      </c>
      <c r="U4" s="2" t="s">
        <v>64</v>
      </c>
      <c r="V4" s="2" t="s">
        <v>66</v>
      </c>
      <c r="W4" s="2"/>
      <c r="X4" s="2"/>
      <c r="Y4" s="2"/>
      <c r="Z4" s="2"/>
      <c r="AA4" s="2"/>
    </row>
    <row r="5" spans="1:27" s="3" customFormat="1">
      <c r="B5" s="31"/>
      <c r="C5" s="26"/>
      <c r="D5" s="26">
        <f>SUM(C6:C30)</f>
        <v>8355.0599999999977</v>
      </c>
      <c r="E5" s="26">
        <f>SUM(E6:E16)</f>
        <v>6505.4599999999982</v>
      </c>
      <c r="F5" s="26" t="e">
        <f>#REF!</f>
        <v>#REF!</v>
      </c>
      <c r="G5" s="26">
        <f>SUM(G6:G26)</f>
        <v>8355.07</v>
      </c>
      <c r="H5" s="26">
        <v>1.0299000000000001E-2</v>
      </c>
      <c r="I5" s="26">
        <f>SUM(I6:I18)</f>
        <v>8355.0699999999979</v>
      </c>
      <c r="J5" s="26">
        <f>J3/I5</f>
        <v>1.0472683053523193E-2</v>
      </c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s="30" customFormat="1">
      <c r="A6" s="27" t="s">
        <v>37</v>
      </c>
      <c r="B6" s="28" t="s">
        <v>36</v>
      </c>
      <c r="C6" s="33">
        <f>VLOOKUP($B6,'Quản lý ví'!$C$3:$G$36,5,FALSE)</f>
        <v>1020.97</v>
      </c>
      <c r="D6" s="37">
        <f t="shared" ref="D6:D18" si="0">C6/$D$5</f>
        <v>0.12219780588050838</v>
      </c>
      <c r="E6" s="30">
        <v>0</v>
      </c>
      <c r="F6" s="30" t="e">
        <f>ROUNDDOWN(E6*F$5,2)</f>
        <v>#REF!</v>
      </c>
      <c r="G6" s="30">
        <v>1027.24</v>
      </c>
      <c r="H6" s="30">
        <f>ROUNDDOWN(G6*H$5,2)</f>
        <v>10.57</v>
      </c>
      <c r="I6" s="30">
        <v>1020.13</v>
      </c>
      <c r="J6" s="30">
        <f>ROUNDDOWN(I6*J$5,2)</f>
        <v>10.68</v>
      </c>
    </row>
    <row r="7" spans="1:27" s="30" customFormat="1">
      <c r="A7" s="27" t="s">
        <v>62</v>
      </c>
      <c r="B7" s="32" t="s">
        <v>38</v>
      </c>
      <c r="C7" s="33">
        <f>VLOOKUP($B7,'Quản lý ví'!$C$3:$G$36,5,FALSE)</f>
        <v>514.55999999999995</v>
      </c>
      <c r="D7" s="37">
        <f t="shared" si="0"/>
        <v>6.158663133478396E-2</v>
      </c>
      <c r="E7" s="29">
        <f>533.79*2</f>
        <v>1067.58</v>
      </c>
      <c r="F7" s="30" t="e">
        <f>ROUNDDOWN(E7*F$5,2)</f>
        <v>#REF!</v>
      </c>
      <c r="G7" s="30">
        <v>519.96</v>
      </c>
      <c r="H7" s="30">
        <f>ROUNDDOWN(G7*H$5,2)</f>
        <v>5.35</v>
      </c>
      <c r="I7" s="30">
        <v>515.4</v>
      </c>
      <c r="J7" s="30">
        <f>ROUNDDOWN(I7*J$5,2)</f>
        <v>5.39</v>
      </c>
    </row>
    <row r="8" spans="1:27" s="30" customFormat="1">
      <c r="A8" s="27" t="s">
        <v>2</v>
      </c>
      <c r="B8" s="34" t="s">
        <v>23</v>
      </c>
      <c r="C8" s="33">
        <f>VLOOKUP($B8,'Quản lý ví'!$C$3:$G$36,5,FALSE)</f>
        <v>1767.28</v>
      </c>
      <c r="D8" s="37">
        <f t="shared" si="0"/>
        <v>0.21152211952996153</v>
      </c>
      <c r="E8" s="29">
        <f>799.64*2</f>
        <v>1599.28</v>
      </c>
      <c r="F8" s="30" t="e">
        <f t="shared" ref="F8:F16" si="1">ROUNDDOWN(E8*F$5,2)</f>
        <v>#REF!</v>
      </c>
      <c r="G8" s="30">
        <v>1767.28</v>
      </c>
      <c r="H8" s="30">
        <f t="shared" ref="H8:J18" si="2">ROUNDDOWN(G8*H$5,2)</f>
        <v>18.2</v>
      </c>
      <c r="I8" s="30">
        <v>1767.28</v>
      </c>
      <c r="J8" s="30">
        <f t="shared" si="2"/>
        <v>18.5</v>
      </c>
    </row>
    <row r="9" spans="1:27" s="30" customFormat="1">
      <c r="A9" s="27" t="s">
        <v>1</v>
      </c>
      <c r="B9" s="34" t="s">
        <v>24</v>
      </c>
      <c r="C9" s="33">
        <f>VLOOKUP($B9,'Quản lý ví'!$C$3:$G$36,5,FALSE)</f>
        <v>1699.65</v>
      </c>
      <c r="D9" s="37">
        <f t="shared" si="0"/>
        <v>0.20342762350001084</v>
      </c>
      <c r="E9" s="29">
        <f>777.6*2</f>
        <v>1555.2</v>
      </c>
      <c r="F9" s="30" t="e">
        <f t="shared" si="1"/>
        <v>#REF!</v>
      </c>
      <c r="G9" s="30">
        <v>1699.65</v>
      </c>
      <c r="H9" s="30">
        <f t="shared" si="2"/>
        <v>17.5</v>
      </c>
      <c r="I9" s="30">
        <v>1699.65</v>
      </c>
      <c r="J9" s="30">
        <f t="shared" si="2"/>
        <v>17.79</v>
      </c>
    </row>
    <row r="10" spans="1:27" s="30" customFormat="1">
      <c r="A10" s="27" t="s">
        <v>6</v>
      </c>
      <c r="B10" s="34" t="s">
        <v>29</v>
      </c>
      <c r="C10" s="33">
        <f>VLOOKUP($B10,'Quản lý ví'!$C$3:$G$36,5,FALSE)</f>
        <v>342.78</v>
      </c>
      <c r="D10" s="37">
        <f t="shared" si="0"/>
        <v>4.1026635356299065E-2</v>
      </c>
      <c r="E10" s="29">
        <f>142.18*2</f>
        <v>284.36</v>
      </c>
      <c r="F10" s="30" t="e">
        <f t="shared" si="1"/>
        <v>#REF!</v>
      </c>
      <c r="G10" s="30">
        <v>342.78</v>
      </c>
      <c r="H10" s="30">
        <f t="shared" si="2"/>
        <v>3.53</v>
      </c>
      <c r="I10" s="30">
        <v>342.78</v>
      </c>
      <c r="J10" s="30">
        <f t="shared" si="2"/>
        <v>3.58</v>
      </c>
    </row>
    <row r="11" spans="1:27" s="30" customFormat="1">
      <c r="A11" s="27" t="s">
        <v>7</v>
      </c>
      <c r="B11" s="34" t="s">
        <v>30</v>
      </c>
      <c r="C11" s="33">
        <f>VLOOKUP($B11,'Quản lý ví'!$C$3:$G$36,5,FALSE)</f>
        <v>597.05999999999995</v>
      </c>
      <c r="D11" s="37">
        <f t="shared" si="0"/>
        <v>7.1460887174957466E-2</v>
      </c>
      <c r="E11" s="29">
        <f>190.47*2</f>
        <v>380.94</v>
      </c>
      <c r="F11" s="30" t="e">
        <f t="shared" si="1"/>
        <v>#REF!</v>
      </c>
      <c r="G11" s="30">
        <v>597.05999999999995</v>
      </c>
      <c r="H11" s="30">
        <f t="shared" si="2"/>
        <v>6.14</v>
      </c>
      <c r="I11" s="30">
        <v>597.05999999999995</v>
      </c>
      <c r="J11" s="30">
        <f t="shared" si="2"/>
        <v>6.25</v>
      </c>
    </row>
    <row r="12" spans="1:27" s="30" customFormat="1">
      <c r="A12" s="27" t="s">
        <v>3</v>
      </c>
      <c r="B12" s="34" t="s">
        <v>27</v>
      </c>
      <c r="C12" s="33">
        <f>VLOOKUP($B12,'Quản lý ví'!$C$3:$G$36,5,FALSE)</f>
        <v>605.30999999999995</v>
      </c>
      <c r="D12" s="37">
        <f t="shared" si="0"/>
        <v>7.2448312758974814E-2</v>
      </c>
      <c r="E12" s="29">
        <f>285.81*2</f>
        <v>571.62</v>
      </c>
      <c r="F12" s="30" t="e">
        <f t="shared" si="1"/>
        <v>#REF!</v>
      </c>
      <c r="G12" s="30">
        <v>605.32000000000005</v>
      </c>
      <c r="H12" s="30">
        <f t="shared" si="2"/>
        <v>6.23</v>
      </c>
      <c r="I12" s="30">
        <v>605.30999999999995</v>
      </c>
      <c r="J12" s="30">
        <f t="shared" si="2"/>
        <v>6.33</v>
      </c>
    </row>
    <row r="13" spans="1:27" s="30" customFormat="1">
      <c r="A13" s="27" t="s">
        <v>4</v>
      </c>
      <c r="B13" s="34" t="s">
        <v>28</v>
      </c>
      <c r="C13" s="33">
        <f>VLOOKUP($B13,'Quản lý ví'!$C$3:$G$36,5,FALSE)</f>
        <v>456.61</v>
      </c>
      <c r="D13" s="37">
        <f t="shared" si="0"/>
        <v>5.4650714656746945E-2</v>
      </c>
      <c r="E13" s="29">
        <f>243.16*2</f>
        <v>486.32</v>
      </c>
      <c r="F13" s="30" t="e">
        <f t="shared" si="1"/>
        <v>#REF!</v>
      </c>
      <c r="G13" s="30">
        <v>456.63</v>
      </c>
      <c r="H13" s="30">
        <f t="shared" si="2"/>
        <v>4.7</v>
      </c>
      <c r="I13" s="30">
        <v>456.62</v>
      </c>
      <c r="J13" s="30">
        <f t="shared" si="2"/>
        <v>4.78</v>
      </c>
    </row>
    <row r="14" spans="1:27" s="30" customFormat="1">
      <c r="A14" s="27" t="s">
        <v>8</v>
      </c>
      <c r="B14" s="34" t="s">
        <v>31</v>
      </c>
      <c r="C14" s="33">
        <f>VLOOKUP($B14,'Quản lý ví'!$C$3:$G$36,5,FALSE)</f>
        <v>237.49</v>
      </c>
      <c r="D14" s="37">
        <f t="shared" si="0"/>
        <v>2.8424691145246123E-2</v>
      </c>
      <c r="E14" s="29">
        <f>106.58*2</f>
        <v>213.16</v>
      </c>
      <c r="F14" s="30" t="e">
        <f t="shared" si="1"/>
        <v>#REF!</v>
      </c>
      <c r="G14" s="30">
        <v>237.49</v>
      </c>
      <c r="H14" s="30">
        <f t="shared" si="2"/>
        <v>2.44</v>
      </c>
      <c r="I14" s="30">
        <v>237.49</v>
      </c>
      <c r="J14" s="30">
        <f t="shared" si="2"/>
        <v>2.48</v>
      </c>
    </row>
    <row r="15" spans="1:27" s="30" customFormat="1">
      <c r="A15" s="27" t="s">
        <v>33</v>
      </c>
      <c r="B15" s="34" t="s">
        <v>33</v>
      </c>
      <c r="C15" s="33">
        <f>VLOOKUP($B15,'Quản lý ví'!$C$3:$G$36,5,FALSE)</f>
        <v>173.5</v>
      </c>
      <c r="D15" s="37">
        <f t="shared" si="0"/>
        <v>2.076585925175882E-2</v>
      </c>
      <c r="E15" s="29">
        <f>86.75*2</f>
        <v>173.5</v>
      </c>
      <c r="F15" s="30" t="e">
        <f t="shared" si="1"/>
        <v>#REF!</v>
      </c>
      <c r="G15" s="30">
        <v>173.5</v>
      </c>
      <c r="H15" s="30">
        <f t="shared" si="2"/>
        <v>1.78</v>
      </c>
      <c r="I15" s="30">
        <v>173.5</v>
      </c>
      <c r="J15" s="30">
        <f t="shared" si="2"/>
        <v>1.81</v>
      </c>
    </row>
    <row r="16" spans="1:27" s="30" customFormat="1">
      <c r="A16" s="27" t="s">
        <v>34</v>
      </c>
      <c r="B16" s="34" t="s">
        <v>35</v>
      </c>
      <c r="C16" s="33">
        <f>VLOOKUP($B16,'Quản lý ví'!$C$3:$G$36,5,FALSE)</f>
        <v>209.37</v>
      </c>
      <c r="D16" s="37">
        <f t="shared" si="0"/>
        <v>2.5059066003116682E-2</v>
      </c>
      <c r="E16" s="29">
        <f>86.75*2</f>
        <v>173.5</v>
      </c>
      <c r="F16" s="30" t="e">
        <f t="shared" si="1"/>
        <v>#REF!</v>
      </c>
      <c r="G16" s="30">
        <v>207.38</v>
      </c>
      <c r="H16" s="30">
        <f t="shared" si="2"/>
        <v>2.13</v>
      </c>
      <c r="I16" s="30">
        <v>209.37</v>
      </c>
      <c r="J16" s="30">
        <f t="shared" si="2"/>
        <v>2.19</v>
      </c>
    </row>
    <row r="17" spans="1:17" s="30" customFormat="1">
      <c r="A17" s="64" t="s">
        <v>128</v>
      </c>
      <c r="B17" s="64" t="s">
        <v>129</v>
      </c>
      <c r="C17" s="33">
        <f>VLOOKUP($B17,'Quản lý ví'!$C$3:$G$36,5,FALSE)</f>
        <v>420.78</v>
      </c>
      <c r="D17" s="37">
        <f t="shared" si="0"/>
        <v>5.0362295423372193E-2</v>
      </c>
      <c r="E17" s="29"/>
      <c r="G17" s="30">
        <v>420.78</v>
      </c>
      <c r="H17" s="30">
        <f t="shared" si="2"/>
        <v>4.33</v>
      </c>
      <c r="I17" s="30">
        <v>420.78</v>
      </c>
      <c r="J17" s="30">
        <f t="shared" si="2"/>
        <v>4.4000000000000004</v>
      </c>
    </row>
    <row r="18" spans="1:17" s="69" customFormat="1">
      <c r="A18" s="66" t="s">
        <v>130</v>
      </c>
      <c r="B18" s="66" t="s">
        <v>131</v>
      </c>
      <c r="C18" s="33">
        <f>VLOOKUP($B18,'Quản lý ví'!$C$3:$G$36,5,FALSE)</f>
        <v>309.7</v>
      </c>
      <c r="D18" s="67">
        <f t="shared" si="0"/>
        <v>3.7067357984263437E-2</v>
      </c>
      <c r="E18" s="68"/>
      <c r="G18" s="69">
        <v>300</v>
      </c>
      <c r="H18" s="69">
        <f t="shared" si="2"/>
        <v>3.08</v>
      </c>
      <c r="I18" s="30">
        <v>309.7</v>
      </c>
      <c r="J18" s="69">
        <f t="shared" si="2"/>
        <v>3.24</v>
      </c>
      <c r="K18" s="30"/>
      <c r="M18" s="30"/>
      <c r="O18" s="30"/>
      <c r="Q18" s="30"/>
    </row>
    <row r="19" spans="1:17">
      <c r="G19" s="65"/>
    </row>
    <row r="26" spans="1:17">
      <c r="H26" s="1">
        <f>SUM(H10:H18)+H6</f>
        <v>44.93</v>
      </c>
      <c r="J26" s="1">
        <f>SUM(J10:J18)+J6</f>
        <v>45.74</v>
      </c>
    </row>
  </sheetData>
  <mergeCells count="11">
    <mergeCell ref="B1:AA1"/>
    <mergeCell ref="E2:F2"/>
    <mergeCell ref="G2:H2"/>
    <mergeCell ref="B2:B4"/>
    <mergeCell ref="I2:J2"/>
    <mergeCell ref="K2:L2"/>
    <mergeCell ref="M2:N2"/>
    <mergeCell ref="O2:P2"/>
    <mergeCell ref="Q2:R2"/>
    <mergeCell ref="S2:T2"/>
    <mergeCell ref="U2:V2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5B9B-B7EC-4264-9CAE-9181130C2B80}">
  <sheetPr codeName="Sheet4">
    <tabColor rgb="FF00B0F0"/>
  </sheetPr>
  <dimension ref="A1:L24"/>
  <sheetViews>
    <sheetView workbookViewId="0">
      <selection activeCell="C12" sqref="C12"/>
    </sheetView>
  </sheetViews>
  <sheetFormatPr defaultRowHeight="14.4"/>
  <cols>
    <col min="1" max="1" width="10.5546875" style="9" customWidth="1"/>
    <col min="2" max="2" width="12.33203125" customWidth="1"/>
    <col min="3" max="3" width="26.66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</cols>
  <sheetData>
    <row r="1" spans="1:12" ht="36" customHeight="1">
      <c r="A1" s="94" t="s">
        <v>11</v>
      </c>
      <c r="B1" s="94"/>
      <c r="C1" s="94"/>
      <c r="F1" t="s">
        <v>45</v>
      </c>
      <c r="G1" s="20">
        <v>44715.864791666667</v>
      </c>
      <c r="H1" s="21" t="s">
        <v>48</v>
      </c>
      <c r="I1" s="14" t="s">
        <v>39</v>
      </c>
      <c r="J1" s="15" t="s">
        <v>40</v>
      </c>
      <c r="K1" s="15" t="s">
        <v>47</v>
      </c>
      <c r="L1" s="16" t="s">
        <v>46</v>
      </c>
    </row>
    <row r="2" spans="1:12" ht="32.4" customHeight="1">
      <c r="A2" s="8" t="s">
        <v>12</v>
      </c>
      <c r="B2" s="5" t="s">
        <v>13</v>
      </c>
      <c r="C2" s="5" t="s">
        <v>14</v>
      </c>
      <c r="D2" s="13" t="s">
        <v>42</v>
      </c>
      <c r="E2" s="13" t="s">
        <v>43</v>
      </c>
      <c r="F2" s="13" t="s">
        <v>41</v>
      </c>
      <c r="G2" s="13" t="s">
        <v>44</v>
      </c>
      <c r="H2">
        <f>SUM(E4:F28)</f>
        <v>8355.1198474898811</v>
      </c>
      <c r="I2" s="17">
        <v>1484.940554</v>
      </c>
      <c r="J2" s="18">
        <v>2682.2078722530186</v>
      </c>
      <c r="K2" s="18">
        <v>7.3128964538483832</v>
      </c>
      <c r="L2" s="19">
        <f>J2/I2</f>
        <v>1.8062728942434274</v>
      </c>
    </row>
    <row r="3" spans="1:12">
      <c r="A3" s="7" t="s">
        <v>49</v>
      </c>
      <c r="B3" s="6" t="s">
        <v>0</v>
      </c>
      <c r="C3" s="10" t="s">
        <v>50</v>
      </c>
      <c r="D3">
        <v>0</v>
      </c>
      <c r="F3">
        <v>9991644.5399999991</v>
      </c>
      <c r="G3">
        <f>ROUNDDOWN(E3+F3,2)</f>
        <v>9991644.5399999991</v>
      </c>
      <c r="H3" s="23">
        <f>G3/(G3+$H$2)</f>
        <v>0.99916448798683088</v>
      </c>
      <c r="J3">
        <v>9992844.5399999991</v>
      </c>
    </row>
    <row r="4" spans="1:12">
      <c r="A4" s="7" t="s">
        <v>37</v>
      </c>
      <c r="B4" s="6" t="s">
        <v>0</v>
      </c>
      <c r="C4" s="10" t="s">
        <v>36</v>
      </c>
      <c r="D4" s="12">
        <v>5.0280181985314787</v>
      </c>
      <c r="E4">
        <f>D4*$I$2/$K$2</f>
        <v>1020.9782370595855</v>
      </c>
      <c r="F4" s="12">
        <v>0</v>
      </c>
      <c r="G4">
        <f t="shared" ref="G4:G21" si="0">ROUNDDOWN(E4+F4,2)</f>
        <v>1020.97</v>
      </c>
      <c r="H4" s="22">
        <f>G4/$H$2</f>
        <v>0.12219693058104114</v>
      </c>
      <c r="J4">
        <v>636.41</v>
      </c>
      <c r="K4">
        <f>G4-J4</f>
        <v>384.56000000000006</v>
      </c>
    </row>
    <row r="5" spans="1:12">
      <c r="A5" s="7" t="s">
        <v>5</v>
      </c>
      <c r="B5" s="6" t="s">
        <v>0</v>
      </c>
      <c r="C5" s="10" t="s">
        <v>38</v>
      </c>
      <c r="D5" s="12">
        <v>2.2641724414959876</v>
      </c>
      <c r="E5">
        <f t="shared" ref="E5:E21" si="1">D5*$I$2/$K$2</f>
        <v>459.75784025456289</v>
      </c>
      <c r="F5" s="12">
        <v>54.808241000000002</v>
      </c>
      <c r="G5">
        <f t="shared" si="0"/>
        <v>514.55999999999995</v>
      </c>
      <c r="H5" s="22">
        <f t="shared" ref="H5:H21" si="2">G5/$H$2</f>
        <v>6.1586190191465488E-2</v>
      </c>
      <c r="J5">
        <v>1067.57</v>
      </c>
      <c r="K5">
        <f t="shared" ref="K5:K20" si="3">G5-J5</f>
        <v>-553.01</v>
      </c>
    </row>
    <row r="6" spans="1:12">
      <c r="A6" s="7" t="s">
        <v>15</v>
      </c>
      <c r="B6" s="6" t="s">
        <v>0</v>
      </c>
      <c r="C6" s="7" t="s">
        <v>16</v>
      </c>
      <c r="D6" s="12">
        <v>0</v>
      </c>
      <c r="E6">
        <f t="shared" si="1"/>
        <v>0</v>
      </c>
      <c r="F6" s="12">
        <v>0</v>
      </c>
      <c r="G6">
        <f t="shared" si="0"/>
        <v>0</v>
      </c>
      <c r="H6" s="22">
        <f t="shared" si="2"/>
        <v>0</v>
      </c>
      <c r="J6">
        <v>0</v>
      </c>
      <c r="K6">
        <f t="shared" si="3"/>
        <v>0</v>
      </c>
    </row>
    <row r="7" spans="1:12">
      <c r="A7" s="7" t="s">
        <v>17</v>
      </c>
      <c r="B7" s="6" t="s">
        <v>0</v>
      </c>
      <c r="C7" s="7" t="s">
        <v>18</v>
      </c>
      <c r="D7" s="12">
        <v>0</v>
      </c>
      <c r="E7">
        <f t="shared" si="1"/>
        <v>0</v>
      </c>
      <c r="F7" s="12">
        <v>0</v>
      </c>
      <c r="G7">
        <f t="shared" si="0"/>
        <v>0</v>
      </c>
      <c r="H7" s="22">
        <f t="shared" si="2"/>
        <v>0</v>
      </c>
      <c r="J7">
        <v>0</v>
      </c>
      <c r="K7">
        <f t="shared" si="3"/>
        <v>0</v>
      </c>
    </row>
    <row r="8" spans="1:12">
      <c r="A8" s="7" t="s">
        <v>19</v>
      </c>
      <c r="B8" s="6" t="s">
        <v>0</v>
      </c>
      <c r="C8" s="7" t="s">
        <v>20</v>
      </c>
      <c r="D8" s="12">
        <v>0</v>
      </c>
      <c r="E8">
        <f t="shared" si="1"/>
        <v>0</v>
      </c>
      <c r="F8" s="12">
        <v>0</v>
      </c>
      <c r="G8">
        <f t="shared" si="0"/>
        <v>0</v>
      </c>
      <c r="H8" s="22">
        <f t="shared" si="2"/>
        <v>0</v>
      </c>
      <c r="J8">
        <v>0</v>
      </c>
      <c r="K8">
        <f t="shared" si="3"/>
        <v>0</v>
      </c>
    </row>
    <row r="9" spans="1:12">
      <c r="A9" s="7" t="s">
        <v>21</v>
      </c>
      <c r="B9" s="6" t="s">
        <v>0</v>
      </c>
      <c r="C9" s="7" t="s">
        <v>22</v>
      </c>
      <c r="D9" s="12">
        <v>0</v>
      </c>
      <c r="E9">
        <f t="shared" si="1"/>
        <v>0</v>
      </c>
      <c r="F9" s="12">
        <v>0</v>
      </c>
      <c r="G9">
        <f t="shared" si="0"/>
        <v>0</v>
      </c>
      <c r="H9" s="22">
        <f t="shared" si="2"/>
        <v>0</v>
      </c>
      <c r="J9">
        <v>0</v>
      </c>
      <c r="K9">
        <f t="shared" si="3"/>
        <v>0</v>
      </c>
    </row>
    <row r="10" spans="1:12">
      <c r="A10" s="7" t="s">
        <v>2</v>
      </c>
      <c r="B10" s="6" t="s">
        <v>0</v>
      </c>
      <c r="C10" s="7" t="s">
        <v>23</v>
      </c>
      <c r="D10" s="12">
        <v>0</v>
      </c>
      <c r="E10">
        <f t="shared" si="1"/>
        <v>0</v>
      </c>
      <c r="F10" s="12">
        <v>1767.28</v>
      </c>
      <c r="G10">
        <f t="shared" si="0"/>
        <v>1767.28</v>
      </c>
      <c r="H10" s="22">
        <f t="shared" si="2"/>
        <v>0.21152060440293288</v>
      </c>
      <c r="J10">
        <v>1599.28</v>
      </c>
      <c r="K10">
        <f t="shared" si="3"/>
        <v>168</v>
      </c>
    </row>
    <row r="11" spans="1:12">
      <c r="A11" s="7" t="s">
        <v>1</v>
      </c>
      <c r="B11" s="6" t="s">
        <v>0</v>
      </c>
      <c r="C11" s="7" t="s">
        <v>24</v>
      </c>
      <c r="D11" s="12">
        <v>0</v>
      </c>
      <c r="E11">
        <f t="shared" si="1"/>
        <v>0</v>
      </c>
      <c r="F11" s="12">
        <v>1699.6506529999999</v>
      </c>
      <c r="G11">
        <f t="shared" si="0"/>
        <v>1699.65</v>
      </c>
      <c r="H11" s="22">
        <f t="shared" si="2"/>
        <v>0.20342616635363095</v>
      </c>
      <c r="J11">
        <v>1555.2</v>
      </c>
      <c r="K11">
        <f t="shared" si="3"/>
        <v>144.45000000000005</v>
      </c>
    </row>
    <row r="12" spans="1:12">
      <c r="A12" s="7" t="s">
        <v>25</v>
      </c>
      <c r="B12" s="6" t="s">
        <v>0</v>
      </c>
      <c r="C12" s="7" t="s">
        <v>26</v>
      </c>
      <c r="D12" s="12">
        <v>0</v>
      </c>
      <c r="E12">
        <f t="shared" si="1"/>
        <v>0</v>
      </c>
      <c r="F12" s="12">
        <v>0</v>
      </c>
      <c r="G12">
        <f t="shared" si="0"/>
        <v>0</v>
      </c>
      <c r="H12" s="22">
        <f t="shared" si="2"/>
        <v>0</v>
      </c>
      <c r="J12">
        <v>0</v>
      </c>
      <c r="K12">
        <f t="shared" si="3"/>
        <v>0</v>
      </c>
    </row>
    <row r="13" spans="1:12">
      <c r="A13" s="7" t="s">
        <v>3</v>
      </c>
      <c r="B13" s="6" t="s">
        <v>0</v>
      </c>
      <c r="C13" s="7" t="s">
        <v>27</v>
      </c>
      <c r="D13" s="12">
        <v>6.3962596979973262E-3</v>
      </c>
      <c r="E13">
        <f t="shared" si="1"/>
        <v>1.2988103249395391</v>
      </c>
      <c r="F13" s="12">
        <v>604.013643</v>
      </c>
      <c r="G13">
        <f t="shared" si="0"/>
        <v>605.30999999999995</v>
      </c>
      <c r="H13" s="22">
        <f t="shared" si="2"/>
        <v>7.2447793813735964E-2</v>
      </c>
      <c r="J13">
        <v>571.61</v>
      </c>
      <c r="K13">
        <f t="shared" si="3"/>
        <v>33.699999999999932</v>
      </c>
    </row>
    <row r="14" spans="1:12">
      <c r="A14" s="7" t="s">
        <v>4</v>
      </c>
      <c r="B14" s="6" t="s">
        <v>0</v>
      </c>
      <c r="C14" s="7" t="s">
        <v>28</v>
      </c>
      <c r="D14" s="12">
        <v>6.3962596652110629E-3</v>
      </c>
      <c r="E14">
        <f t="shared" si="1"/>
        <v>1.2988103182820332</v>
      </c>
      <c r="F14" s="12">
        <v>455.32</v>
      </c>
      <c r="G14">
        <f t="shared" si="0"/>
        <v>456.61</v>
      </c>
      <c r="H14" s="22">
        <f t="shared" si="2"/>
        <v>5.4650323195205727E-2</v>
      </c>
      <c r="J14">
        <v>486.31</v>
      </c>
      <c r="K14">
        <f t="shared" si="3"/>
        <v>-29.699999999999989</v>
      </c>
    </row>
    <row r="15" spans="1:12">
      <c r="A15" s="7" t="s">
        <v>6</v>
      </c>
      <c r="B15" s="6" t="s">
        <v>0</v>
      </c>
      <c r="C15" s="7" t="s">
        <v>29</v>
      </c>
      <c r="D15" s="12">
        <v>0</v>
      </c>
      <c r="E15">
        <f t="shared" si="1"/>
        <v>0</v>
      </c>
      <c r="F15" s="12">
        <v>342.78237300000001</v>
      </c>
      <c r="G15">
        <f t="shared" si="0"/>
        <v>342.78</v>
      </c>
      <c r="H15" s="22">
        <f t="shared" si="2"/>
        <v>4.102634148365699E-2</v>
      </c>
      <c r="J15">
        <v>284.36</v>
      </c>
      <c r="K15">
        <f t="shared" si="3"/>
        <v>58.419999999999959</v>
      </c>
    </row>
    <row r="16" spans="1:12">
      <c r="A16" s="7" t="s">
        <v>7</v>
      </c>
      <c r="B16" s="6" t="s">
        <v>0</v>
      </c>
      <c r="C16" s="7" t="s">
        <v>30</v>
      </c>
      <c r="D16" s="12">
        <v>0</v>
      </c>
      <c r="E16">
        <f t="shared" si="1"/>
        <v>0</v>
      </c>
      <c r="F16" s="12">
        <v>597.06893700000001</v>
      </c>
      <c r="G16">
        <f t="shared" si="0"/>
        <v>597.05999999999995</v>
      </c>
      <c r="H16" s="22">
        <f t="shared" si="2"/>
        <v>7.1460375302620463E-2</v>
      </c>
      <c r="J16">
        <v>380.94</v>
      </c>
      <c r="K16">
        <f t="shared" si="3"/>
        <v>216.11999999999995</v>
      </c>
    </row>
    <row r="17" spans="1:12">
      <c r="A17" s="7" t="s">
        <v>8</v>
      </c>
      <c r="B17" s="6" t="s">
        <v>0</v>
      </c>
      <c r="C17" s="7" t="s">
        <v>31</v>
      </c>
      <c r="D17" s="12">
        <v>0</v>
      </c>
      <c r="E17">
        <f t="shared" si="1"/>
        <v>0</v>
      </c>
      <c r="F17" s="12">
        <v>237.49402499999999</v>
      </c>
      <c r="G17">
        <f t="shared" si="0"/>
        <v>237.49</v>
      </c>
      <c r="H17" s="22">
        <f t="shared" si="2"/>
        <v>2.842448753997812E-2</v>
      </c>
      <c r="J17">
        <v>212.48</v>
      </c>
      <c r="K17">
        <f t="shared" si="3"/>
        <v>25.010000000000019</v>
      </c>
    </row>
    <row r="18" spans="1:12">
      <c r="A18" s="7" t="s">
        <v>32</v>
      </c>
      <c r="B18" s="6" t="s">
        <v>0</v>
      </c>
      <c r="C18" s="7" t="s">
        <v>33</v>
      </c>
      <c r="D18" s="12">
        <v>0</v>
      </c>
      <c r="E18">
        <f t="shared" si="1"/>
        <v>0</v>
      </c>
      <c r="F18" s="12">
        <v>173.5</v>
      </c>
      <c r="G18">
        <f t="shared" si="0"/>
        <v>173.5</v>
      </c>
      <c r="H18" s="22">
        <f t="shared" si="2"/>
        <v>2.0765710506489551E-2</v>
      </c>
      <c r="J18">
        <v>173.5</v>
      </c>
      <c r="K18">
        <f t="shared" si="3"/>
        <v>0</v>
      </c>
    </row>
    <row r="19" spans="1:12">
      <c r="A19" s="7" t="s">
        <v>34</v>
      </c>
      <c r="B19" s="6" t="s">
        <v>0</v>
      </c>
      <c r="C19" s="7" t="s">
        <v>35</v>
      </c>
      <c r="D19" s="12">
        <v>6.2381924144978528E-3</v>
      </c>
      <c r="E19">
        <f t="shared" si="1"/>
        <v>1.2667135325112173</v>
      </c>
      <c r="F19" s="12">
        <v>208.106821</v>
      </c>
      <c r="G19">
        <f t="shared" si="0"/>
        <v>209.37</v>
      </c>
      <c r="H19" s="22">
        <f t="shared" si="2"/>
        <v>2.505888650572748E-2</v>
      </c>
      <c r="J19">
        <v>187.76</v>
      </c>
      <c r="K19">
        <f t="shared" si="3"/>
        <v>21.610000000000014</v>
      </c>
    </row>
    <row r="20" spans="1:12">
      <c r="A20" s="7" t="s">
        <v>128</v>
      </c>
      <c r="B20" s="6" t="s">
        <v>69</v>
      </c>
      <c r="C20" s="7" t="s">
        <v>70</v>
      </c>
      <c r="D20" s="12">
        <v>0</v>
      </c>
      <c r="E20">
        <f t="shared" si="1"/>
        <v>0</v>
      </c>
      <c r="F20" s="12">
        <v>420.78699599999999</v>
      </c>
      <c r="G20">
        <f t="shared" si="0"/>
        <v>420.78</v>
      </c>
      <c r="H20" s="22">
        <f t="shared" si="2"/>
        <v>5.0361934679658056E-2</v>
      </c>
      <c r="J20">
        <v>0</v>
      </c>
      <c r="K20">
        <f t="shared" si="3"/>
        <v>420.78</v>
      </c>
      <c r="L20">
        <f>K20*1.63</f>
        <v>685.87139999999988</v>
      </c>
    </row>
    <row r="21" spans="1:12">
      <c r="A21" s="7" t="s">
        <v>130</v>
      </c>
      <c r="B21" s="6" t="s">
        <v>58</v>
      </c>
      <c r="C21" s="7" t="s">
        <v>131</v>
      </c>
      <c r="D21" s="12">
        <v>0</v>
      </c>
      <c r="E21">
        <f t="shared" si="1"/>
        <v>0</v>
      </c>
      <c r="F21" s="12">
        <v>309.70774699999998</v>
      </c>
      <c r="G21">
        <f t="shared" si="0"/>
        <v>309.7</v>
      </c>
      <c r="H21" s="22">
        <f t="shared" si="2"/>
        <v>3.7067092471814486E-2</v>
      </c>
      <c r="L21">
        <f>L20*6.2</f>
        <v>4252.4026799999992</v>
      </c>
    </row>
    <row r="22" spans="1:12">
      <c r="A22" s="7"/>
      <c r="B22" s="6"/>
      <c r="C22" s="7"/>
      <c r="D22" s="12"/>
      <c r="F22" s="12"/>
    </row>
    <row r="23" spans="1:12">
      <c r="A23" s="7"/>
      <c r="B23" s="6"/>
      <c r="C23" s="7"/>
      <c r="D23" s="12"/>
      <c r="F23" s="12"/>
    </row>
    <row r="24" spans="1:12">
      <c r="A24" s="7"/>
      <c r="B24" s="6"/>
      <c r="C24" s="7"/>
      <c r="D24" s="12"/>
      <c r="F24" s="12"/>
    </row>
  </sheetData>
  <mergeCells count="1">
    <mergeCell ref="A1:C1"/>
  </mergeCells>
  <phoneticPr fontId="6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D91F-993A-4DAC-B52C-D7C1D346F254}">
  <sheetPr codeName="Sheet5">
    <tabColor rgb="FF00B0F0"/>
  </sheetPr>
  <dimension ref="A1:M22"/>
  <sheetViews>
    <sheetView workbookViewId="0">
      <selection activeCell="G10" sqref="G10"/>
    </sheetView>
  </sheetViews>
  <sheetFormatPr defaultRowHeight="14.4"/>
  <cols>
    <col min="1" max="1" width="15" style="9" customWidth="1"/>
    <col min="2" max="2" width="12.33203125" customWidth="1"/>
    <col min="3" max="3" width="34.441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  <col min="13" max="13" width="11" customWidth="1"/>
  </cols>
  <sheetData>
    <row r="1" spans="1:13" ht="36" customHeight="1">
      <c r="A1" s="94" t="s">
        <v>51</v>
      </c>
      <c r="B1" s="94"/>
      <c r="C1" s="94"/>
      <c r="F1" t="s">
        <v>45</v>
      </c>
      <c r="G1" s="20">
        <v>44715.882199074076</v>
      </c>
      <c r="H1" s="21" t="s">
        <v>48</v>
      </c>
      <c r="I1" s="14" t="s">
        <v>39</v>
      </c>
      <c r="J1" s="15" t="s">
        <v>40</v>
      </c>
      <c r="K1" s="15" t="s">
        <v>47</v>
      </c>
      <c r="L1" s="16" t="s">
        <v>46</v>
      </c>
      <c r="M1" s="24" t="s">
        <v>60</v>
      </c>
    </row>
    <row r="2" spans="1:13" ht="32.4" customHeight="1">
      <c r="A2" s="8" t="s">
        <v>54</v>
      </c>
      <c r="B2" s="5" t="s">
        <v>13</v>
      </c>
      <c r="C2" s="5" t="s">
        <v>14</v>
      </c>
      <c r="D2" s="13" t="s">
        <v>55</v>
      </c>
      <c r="E2" s="13" t="s">
        <v>52</v>
      </c>
      <c r="F2" s="13" t="s">
        <v>53</v>
      </c>
      <c r="G2" s="13" t="s">
        <v>61</v>
      </c>
      <c r="H2">
        <f>SUM(G3:G26)</f>
        <v>3065.8899999999994</v>
      </c>
      <c r="I2" s="17">
        <v>1484.940554</v>
      </c>
      <c r="J2" s="18">
        <v>2682.2078722530186</v>
      </c>
      <c r="K2" s="18">
        <v>7.3128964538483832</v>
      </c>
      <c r="L2" s="19">
        <f>J2/I2</f>
        <v>1.8062728942434274</v>
      </c>
      <c r="M2" s="25">
        <f>H2/('Quản lý ví'!H2-'Quản lý ví'!G4)</f>
        <v>0.41802936451445738</v>
      </c>
    </row>
    <row r="3" spans="1:13">
      <c r="A3" s="7" t="s">
        <v>37</v>
      </c>
      <c r="B3" s="6" t="s">
        <v>0</v>
      </c>
      <c r="C3" s="10" t="s">
        <v>36</v>
      </c>
      <c r="D3" s="12">
        <v>5.0280181985314787</v>
      </c>
      <c r="E3">
        <f>D3*$J$2/$K$2</f>
        <v>1844.1653152131696</v>
      </c>
      <c r="F3" s="12">
        <v>218.35256343152602</v>
      </c>
      <c r="G3">
        <f>ROUNDDOWN(E3+F3,2)</f>
        <v>2062.5100000000002</v>
      </c>
      <c r="H3" s="22">
        <f t="shared" ref="H3:H10" si="0">G3/$H$2</f>
        <v>0.67272798436995473</v>
      </c>
    </row>
    <row r="4" spans="1:13">
      <c r="A4" s="7" t="s">
        <v>15</v>
      </c>
      <c r="B4" s="6" t="s">
        <v>0</v>
      </c>
      <c r="C4" s="7" t="s">
        <v>16</v>
      </c>
      <c r="D4" s="12">
        <v>0</v>
      </c>
      <c r="E4">
        <f t="shared" ref="E4:E10" si="1">D4*$J$2/$K$2</f>
        <v>0</v>
      </c>
      <c r="F4" s="12">
        <v>0.98653854057728319</v>
      </c>
      <c r="G4">
        <f t="shared" ref="G4:G10" si="2">ROUNDDOWN(E4+F4,2)</f>
        <v>0.98</v>
      </c>
      <c r="H4" s="22">
        <f t="shared" si="0"/>
        <v>3.1964617125859057E-4</v>
      </c>
    </row>
    <row r="5" spans="1:13">
      <c r="A5" s="7" t="s">
        <v>17</v>
      </c>
      <c r="B5" s="6" t="s">
        <v>0</v>
      </c>
      <c r="C5" s="7" t="s">
        <v>18</v>
      </c>
      <c r="D5" s="12">
        <v>0</v>
      </c>
      <c r="E5">
        <f t="shared" si="1"/>
        <v>0</v>
      </c>
      <c r="F5" s="12">
        <v>0.64474056472297769</v>
      </c>
      <c r="G5">
        <f t="shared" si="2"/>
        <v>0.64</v>
      </c>
      <c r="H5" s="22">
        <f t="shared" si="0"/>
        <v>2.0874852000561016E-4</v>
      </c>
    </row>
    <row r="6" spans="1:13">
      <c r="A6" s="7" t="s">
        <v>19</v>
      </c>
      <c r="B6" s="6" t="s">
        <v>0</v>
      </c>
      <c r="C6" s="7" t="s">
        <v>20</v>
      </c>
      <c r="D6" s="12">
        <v>0</v>
      </c>
      <c r="E6">
        <f t="shared" si="1"/>
        <v>0</v>
      </c>
      <c r="F6" s="12">
        <v>1.0841568604178162</v>
      </c>
      <c r="G6">
        <f t="shared" si="2"/>
        <v>1.08</v>
      </c>
      <c r="H6" s="22">
        <f t="shared" si="0"/>
        <v>3.5226312750946714E-4</v>
      </c>
    </row>
    <row r="7" spans="1:13">
      <c r="A7" s="7" t="s">
        <v>56</v>
      </c>
      <c r="B7" s="6" t="s">
        <v>0</v>
      </c>
      <c r="C7" s="7" t="s">
        <v>22</v>
      </c>
      <c r="D7" s="12">
        <v>0</v>
      </c>
      <c r="E7">
        <f t="shared" si="1"/>
        <v>0</v>
      </c>
      <c r="F7" s="12">
        <v>0.74855038442745681</v>
      </c>
      <c r="G7">
        <f t="shared" si="2"/>
        <v>0.74</v>
      </c>
      <c r="H7" s="22">
        <f t="shared" si="0"/>
        <v>2.4136547625648675E-4</v>
      </c>
    </row>
    <row r="8" spans="1:13">
      <c r="A8" s="7" t="s">
        <v>57</v>
      </c>
      <c r="B8" s="6" t="s">
        <v>58</v>
      </c>
      <c r="C8" s="7" t="s">
        <v>59</v>
      </c>
      <c r="D8" s="12">
        <v>0</v>
      </c>
      <c r="E8">
        <f t="shared" si="1"/>
        <v>0</v>
      </c>
      <c r="F8" s="12">
        <v>2.3359412466293543</v>
      </c>
      <c r="G8">
        <f t="shared" si="2"/>
        <v>2.33</v>
      </c>
      <c r="H8" s="22">
        <f t="shared" si="0"/>
        <v>7.5997508064542445E-4</v>
      </c>
    </row>
    <row r="9" spans="1:13">
      <c r="A9" s="7" t="s">
        <v>68</v>
      </c>
      <c r="B9" s="6" t="s">
        <v>58</v>
      </c>
      <c r="C9" s="7" t="s">
        <v>59</v>
      </c>
      <c r="D9" s="12">
        <v>0</v>
      </c>
      <c r="E9">
        <f t="shared" si="1"/>
        <v>0</v>
      </c>
      <c r="F9" s="12">
        <v>2.3359412466293543</v>
      </c>
      <c r="G9">
        <f t="shared" si="2"/>
        <v>2.33</v>
      </c>
      <c r="H9" s="22">
        <f t="shared" si="0"/>
        <v>7.5997508064542445E-4</v>
      </c>
    </row>
    <row r="10" spans="1:13">
      <c r="A10" s="7" t="s">
        <v>5</v>
      </c>
      <c r="B10" s="6" t="s">
        <v>0</v>
      </c>
      <c r="C10" s="7" t="s">
        <v>71</v>
      </c>
      <c r="D10" s="12">
        <v>2.2641724414959876</v>
      </c>
      <c r="E10">
        <f t="shared" si="1"/>
        <v>830.44812476771676</v>
      </c>
      <c r="F10" s="12">
        <v>164.84073478863129</v>
      </c>
      <c r="G10">
        <f t="shared" si="2"/>
        <v>995.28</v>
      </c>
      <c r="H10" s="22">
        <f t="shared" si="0"/>
        <v>0.32463004217372449</v>
      </c>
    </row>
    <row r="11" spans="1:13">
      <c r="A11" s="7"/>
      <c r="B11" s="6"/>
      <c r="C11" s="7"/>
      <c r="D11" s="12"/>
      <c r="F11" s="12"/>
      <c r="H11" s="22"/>
    </row>
    <row r="12" spans="1:13">
      <c r="A12" s="7"/>
      <c r="B12" s="6"/>
      <c r="C12" s="7"/>
      <c r="D12" s="12"/>
      <c r="F12" s="12"/>
      <c r="H12" s="22"/>
    </row>
    <row r="13" spans="1:13">
      <c r="A13" s="7"/>
      <c r="B13" s="6"/>
      <c r="C13" s="7"/>
      <c r="D13" s="12"/>
      <c r="F13" s="12"/>
      <c r="H13" s="22"/>
    </row>
    <row r="14" spans="1:13">
      <c r="A14" s="7"/>
      <c r="B14" s="6"/>
      <c r="C14" s="7"/>
      <c r="D14" s="12"/>
      <c r="F14" s="12"/>
      <c r="H14" s="22"/>
    </row>
    <row r="15" spans="1:13">
      <c r="A15" s="7"/>
      <c r="B15" s="6"/>
      <c r="C15" s="7"/>
      <c r="D15" s="12"/>
      <c r="F15" s="12"/>
      <c r="H15" s="22"/>
    </row>
    <row r="16" spans="1:13">
      <c r="A16" s="7"/>
      <c r="B16" s="6"/>
      <c r="C16" s="7"/>
      <c r="D16" s="12"/>
      <c r="F16" s="12"/>
      <c r="H16" s="22"/>
    </row>
    <row r="17" spans="1:8">
      <c r="A17" s="7"/>
      <c r="B17" s="6"/>
      <c r="C17" s="7"/>
      <c r="D17" s="12"/>
      <c r="F17" s="12"/>
      <c r="H17" s="22"/>
    </row>
    <row r="18" spans="1:8">
      <c r="A18" s="7"/>
      <c r="B18" s="6"/>
      <c r="C18" s="7"/>
    </row>
    <row r="19" spans="1:8">
      <c r="A19" s="7"/>
      <c r="B19" s="6"/>
      <c r="C19" s="7"/>
    </row>
    <row r="20" spans="1:8">
      <c r="A20" s="7"/>
      <c r="B20" s="6"/>
      <c r="C20" s="7"/>
    </row>
    <row r="21" spans="1:8">
      <c r="A21" s="7"/>
      <c r="B21" s="6"/>
      <c r="C21" s="7"/>
    </row>
    <row r="22" spans="1:8">
      <c r="A22" s="7"/>
      <c r="B22" s="6"/>
      <c r="C22" s="7"/>
    </row>
  </sheetData>
  <mergeCells count="1">
    <mergeCell ref="A1:C1"/>
  </mergeCells>
  <phoneticPr fontId="6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9921F-9573-4717-97D4-F858175D75AD}">
  <sheetPr codeName="Sheet6"/>
  <dimension ref="A1:AN19"/>
  <sheetViews>
    <sheetView tabSelected="1" workbookViewId="0">
      <selection activeCell="R13" sqref="R13"/>
    </sheetView>
  </sheetViews>
  <sheetFormatPr defaultColWidth="9.21875" defaultRowHeight="14.4"/>
  <cols>
    <col min="1" max="1" width="7.6640625" style="39" customWidth="1"/>
    <col min="2" max="2" width="6" style="62" customWidth="1"/>
    <col min="3" max="3" width="5.44140625" style="62" customWidth="1"/>
    <col min="4" max="4" width="6.77734375" style="39" customWidth="1"/>
    <col min="5" max="6" width="5.5546875" style="39" customWidth="1"/>
    <col min="7" max="7" width="6.109375" style="39" customWidth="1"/>
    <col min="8" max="8" width="6.109375" style="63" hidden="1" customWidth="1"/>
    <col min="9" max="9" width="5.109375" style="39" hidden="1" customWidth="1"/>
    <col min="10" max="10" width="6" style="39" hidden="1" customWidth="1"/>
    <col min="11" max="11" width="5.21875" style="39" customWidth="1"/>
    <col min="12" max="12" width="5.33203125" style="39" customWidth="1"/>
    <col min="13" max="13" width="5.109375" style="39" customWidth="1"/>
    <col min="14" max="14" width="5.5546875" style="39" customWidth="1"/>
    <col min="15" max="15" width="5.88671875" style="39" customWidth="1"/>
    <col min="16" max="16" width="7.88671875" style="39" hidden="1" customWidth="1"/>
    <col min="17" max="17" width="6.44140625" style="39" customWidth="1"/>
    <col min="18" max="18" width="6.88671875" style="62" customWidth="1"/>
    <col min="19" max="19" width="6.33203125" style="39" customWidth="1"/>
    <col min="20" max="20" width="7.33203125" style="39" hidden="1" customWidth="1"/>
    <col min="21" max="21" width="6.5546875" style="39" customWidth="1"/>
    <col min="22" max="22" width="6.88671875" style="39" hidden="1" customWidth="1"/>
    <col min="23" max="23" width="6.5546875" style="39" customWidth="1"/>
    <col min="24" max="24" width="8" style="39" customWidth="1"/>
    <col min="25" max="25" width="7.88671875" style="39" customWidth="1"/>
    <col min="26" max="26" width="6" style="39" customWidth="1"/>
    <col min="27" max="30" width="5.5546875" style="39" hidden="1" customWidth="1"/>
    <col min="31" max="31" width="6.109375" style="39" hidden="1" customWidth="1"/>
    <col min="32" max="32" width="6.44140625" style="39" hidden="1" customWidth="1"/>
    <col min="33" max="33" width="10.6640625" style="39" customWidth="1"/>
    <col min="34" max="34" width="11" style="39" customWidth="1"/>
    <col min="35" max="37" width="9.21875" style="59"/>
    <col min="38" max="16384" width="9.21875" style="39"/>
  </cols>
  <sheetData>
    <row r="1" spans="1:40" ht="18">
      <c r="A1" s="115" t="s">
        <v>72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7" t="s">
        <v>73</v>
      </c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95" t="s">
        <v>74</v>
      </c>
      <c r="AH1" s="38"/>
      <c r="AI1" s="97" t="s">
        <v>75</v>
      </c>
      <c r="AJ1" s="98"/>
      <c r="AK1" s="99"/>
    </row>
    <row r="2" spans="1:40" s="41" customFormat="1" ht="19.8" customHeight="1">
      <c r="A2" s="107" t="s">
        <v>76</v>
      </c>
      <c r="B2" s="108"/>
      <c r="C2" s="108"/>
      <c r="D2" s="108"/>
      <c r="E2" s="108"/>
      <c r="F2" s="108"/>
      <c r="G2" s="109"/>
      <c r="H2" s="106" t="s">
        <v>77</v>
      </c>
      <c r="I2" s="106"/>
      <c r="J2" s="106"/>
      <c r="K2" s="106"/>
      <c r="L2" s="106"/>
      <c r="M2" s="106"/>
      <c r="N2" s="106"/>
      <c r="O2" s="106"/>
      <c r="P2" s="132" t="s">
        <v>78</v>
      </c>
      <c r="Q2" s="132"/>
      <c r="R2" s="132"/>
      <c r="S2" s="132"/>
      <c r="T2" s="107" t="s">
        <v>79</v>
      </c>
      <c r="U2" s="108"/>
      <c r="V2" s="108"/>
      <c r="W2" s="108"/>
      <c r="X2" s="108"/>
      <c r="Y2" s="108"/>
      <c r="Z2" s="109"/>
      <c r="AA2" s="110" t="s">
        <v>80</v>
      </c>
      <c r="AB2" s="110"/>
      <c r="AC2" s="110"/>
      <c r="AD2" s="110"/>
      <c r="AE2" s="111" t="s">
        <v>81</v>
      </c>
      <c r="AF2" s="112"/>
      <c r="AG2" s="95"/>
      <c r="AH2" s="40"/>
      <c r="AI2" s="100"/>
      <c r="AJ2" s="101"/>
      <c r="AK2" s="102"/>
    </row>
    <row r="3" spans="1:40" s="40" customFormat="1" ht="15.75" customHeight="1">
      <c r="A3" s="110" t="s">
        <v>82</v>
      </c>
      <c r="B3" s="127" t="s">
        <v>83</v>
      </c>
      <c r="C3" s="127" t="s">
        <v>84</v>
      </c>
      <c r="D3" s="110" t="s">
        <v>85</v>
      </c>
      <c r="E3" s="124" t="s">
        <v>86</v>
      </c>
      <c r="F3" s="124" t="s">
        <v>87</v>
      </c>
      <c r="G3" s="124" t="s">
        <v>88</v>
      </c>
      <c r="H3" s="110" t="s">
        <v>89</v>
      </c>
      <c r="I3" s="110" t="s">
        <v>90</v>
      </c>
      <c r="J3" s="110"/>
      <c r="K3" s="110" t="s">
        <v>91</v>
      </c>
      <c r="L3" s="110" t="s">
        <v>92</v>
      </c>
      <c r="M3" s="110"/>
      <c r="N3" s="110"/>
      <c r="O3" s="110" t="s">
        <v>93</v>
      </c>
      <c r="P3" s="132"/>
      <c r="Q3" s="132"/>
      <c r="R3" s="132"/>
      <c r="S3" s="132"/>
      <c r="T3" s="118" t="s">
        <v>418</v>
      </c>
      <c r="U3" s="119"/>
      <c r="V3" s="119"/>
      <c r="W3" s="120"/>
      <c r="X3" s="121" t="s">
        <v>94</v>
      </c>
      <c r="Y3" s="122"/>
      <c r="Z3" s="123"/>
      <c r="AA3" s="110"/>
      <c r="AB3" s="110"/>
      <c r="AC3" s="110"/>
      <c r="AD3" s="110"/>
      <c r="AE3" s="113"/>
      <c r="AF3" s="114"/>
      <c r="AG3" s="95"/>
      <c r="AI3" s="100"/>
      <c r="AJ3" s="101"/>
      <c r="AK3" s="102"/>
    </row>
    <row r="4" spans="1:40" s="40" customFormat="1" ht="15" customHeight="1">
      <c r="A4" s="110"/>
      <c r="B4" s="128"/>
      <c r="C4" s="128"/>
      <c r="D4" s="110"/>
      <c r="E4" s="126"/>
      <c r="F4" s="126"/>
      <c r="G4" s="126"/>
      <c r="H4" s="110"/>
      <c r="I4" s="110"/>
      <c r="J4" s="110"/>
      <c r="K4" s="110"/>
      <c r="L4" s="110" t="s">
        <v>95</v>
      </c>
      <c r="M4" s="42" t="s">
        <v>96</v>
      </c>
      <c r="N4" s="42" t="s">
        <v>1</v>
      </c>
      <c r="O4" s="110"/>
      <c r="P4" s="143" t="s">
        <v>132</v>
      </c>
      <c r="Q4" s="145" t="s">
        <v>101</v>
      </c>
      <c r="R4" s="130" t="s">
        <v>97</v>
      </c>
      <c r="S4" s="131"/>
      <c r="T4" s="118" t="s">
        <v>2</v>
      </c>
      <c r="U4" s="120"/>
      <c r="V4" s="121" t="s">
        <v>1</v>
      </c>
      <c r="W4" s="123"/>
      <c r="X4" s="42" t="s">
        <v>2</v>
      </c>
      <c r="Y4" s="42" t="s">
        <v>1</v>
      </c>
      <c r="Z4" s="43" t="s">
        <v>98</v>
      </c>
      <c r="AA4" s="121" t="s">
        <v>2</v>
      </c>
      <c r="AB4" s="122"/>
      <c r="AC4" s="121" t="s">
        <v>1</v>
      </c>
      <c r="AD4" s="123"/>
      <c r="AE4" s="124" t="s">
        <v>99</v>
      </c>
      <c r="AF4" s="124" t="s">
        <v>100</v>
      </c>
      <c r="AG4" s="95"/>
      <c r="AI4" s="103"/>
      <c r="AJ4" s="104"/>
      <c r="AK4" s="105"/>
    </row>
    <row r="5" spans="1:40" s="48" customFormat="1" ht="43.2">
      <c r="A5" s="110"/>
      <c r="B5" s="129"/>
      <c r="C5" s="129"/>
      <c r="D5" s="110"/>
      <c r="E5" s="125"/>
      <c r="F5" s="125"/>
      <c r="G5" s="125"/>
      <c r="H5" s="110"/>
      <c r="I5" s="42" t="s">
        <v>2</v>
      </c>
      <c r="J5" s="44" t="s">
        <v>1</v>
      </c>
      <c r="K5" s="110"/>
      <c r="L5" s="110"/>
      <c r="M5" s="45">
        <v>0.7</v>
      </c>
      <c r="N5" s="45">
        <v>0.3</v>
      </c>
      <c r="O5" s="110"/>
      <c r="P5" s="144"/>
      <c r="Q5" s="145"/>
      <c r="R5" s="70" t="s">
        <v>127</v>
      </c>
      <c r="S5" s="46" t="s">
        <v>0</v>
      </c>
      <c r="T5" s="42" t="s">
        <v>102</v>
      </c>
      <c r="U5" s="42" t="s">
        <v>103</v>
      </c>
      <c r="V5" s="42" t="s">
        <v>102</v>
      </c>
      <c r="W5" s="42" t="s">
        <v>104</v>
      </c>
      <c r="X5" s="42" t="s">
        <v>105</v>
      </c>
      <c r="Y5" s="42" t="s">
        <v>106</v>
      </c>
      <c r="Z5" s="42" t="s">
        <v>107</v>
      </c>
      <c r="AA5" s="44" t="s">
        <v>108</v>
      </c>
      <c r="AB5" s="44" t="s">
        <v>109</v>
      </c>
      <c r="AC5" s="47" t="s">
        <v>108</v>
      </c>
      <c r="AD5" s="47" t="s">
        <v>109</v>
      </c>
      <c r="AE5" s="125"/>
      <c r="AF5" s="125"/>
      <c r="AG5" s="96"/>
      <c r="AI5" s="49" t="s">
        <v>110</v>
      </c>
      <c r="AJ5" s="49" t="s">
        <v>111</v>
      </c>
      <c r="AK5" s="50" t="s">
        <v>112</v>
      </c>
      <c r="AL5"/>
      <c r="AM5"/>
      <c r="AN5"/>
    </row>
    <row r="6" spans="1:40">
      <c r="A6" s="51" t="s">
        <v>113</v>
      </c>
      <c r="B6" s="52">
        <v>5.25</v>
      </c>
      <c r="C6" s="52">
        <v>5.46</v>
      </c>
      <c r="D6" s="53">
        <v>87.5</v>
      </c>
      <c r="E6" s="53"/>
      <c r="F6" s="53"/>
      <c r="G6" s="54">
        <f>SUM(C6:F6)</f>
        <v>92.96</v>
      </c>
      <c r="H6" s="55"/>
      <c r="I6" s="54"/>
      <c r="J6" s="54"/>
      <c r="K6" s="54">
        <f>125/B6</f>
        <v>23.80952380952381</v>
      </c>
      <c r="L6" s="54">
        <f>100/B6</f>
        <v>19.047619047619047</v>
      </c>
      <c r="M6" s="54">
        <f>(G6-K6-L6*3)/2*$M$5</f>
        <v>4.2026666666666657</v>
      </c>
      <c r="N6" s="54">
        <f>(G6-K6-L6*3)/2*$N$5</f>
        <v>1.8011428571428567</v>
      </c>
      <c r="O6" s="53">
        <v>0</v>
      </c>
      <c r="P6" s="56"/>
      <c r="Q6" s="54">
        <f>((G6-K6-L6*3)/2-O6)</f>
        <v>6.0038095238095224</v>
      </c>
      <c r="R6" s="56">
        <v>514.55999999999995</v>
      </c>
      <c r="S6" s="56">
        <v>995.28</v>
      </c>
      <c r="T6" s="53"/>
      <c r="U6" s="54">
        <f>L6+M6</f>
        <v>23.250285714285713</v>
      </c>
      <c r="V6" s="53"/>
      <c r="W6" s="54">
        <f>L6+N6</f>
        <v>20.848761904761904</v>
      </c>
      <c r="X6" s="57">
        <f>T6+U6+K6</f>
        <v>47.05980952380952</v>
      </c>
      <c r="Y6" s="58">
        <f>V6+W6-E6-F6</f>
        <v>20.848761904761904</v>
      </c>
      <c r="Z6" s="57">
        <f>L6</f>
        <v>19.047619047619047</v>
      </c>
      <c r="AA6" s="53"/>
      <c r="AB6" s="53"/>
      <c r="AC6" s="53"/>
      <c r="AD6" s="53"/>
      <c r="AE6" s="53"/>
      <c r="AF6" s="53"/>
      <c r="AG6" s="53" t="s">
        <v>133</v>
      </c>
      <c r="AI6" s="59">
        <f>D6+C6+E6+F6</f>
        <v>92.96</v>
      </c>
      <c r="AJ6" s="59">
        <f>X6+Y6+Z6</f>
        <v>86.956190476190471</v>
      </c>
      <c r="AK6" s="59">
        <f>AI6-AJ6</f>
        <v>6.0038095238095224</v>
      </c>
    </row>
    <row r="7" spans="1:40">
      <c r="A7" s="51" t="s">
        <v>114</v>
      </c>
      <c r="B7" s="52"/>
      <c r="C7" s="52"/>
      <c r="D7" s="53"/>
      <c r="E7" s="53"/>
      <c r="F7" s="53"/>
      <c r="G7" s="54"/>
      <c r="H7" s="55"/>
      <c r="I7" s="54"/>
      <c r="J7" s="54"/>
      <c r="K7" s="54"/>
      <c r="L7" s="54"/>
      <c r="M7" s="54"/>
      <c r="N7" s="54"/>
      <c r="O7" s="53"/>
      <c r="P7" s="53"/>
      <c r="Q7" s="54"/>
      <c r="R7" s="56"/>
      <c r="S7" s="55"/>
      <c r="T7" s="53"/>
      <c r="U7" s="54"/>
      <c r="V7" s="53"/>
      <c r="W7" s="54"/>
      <c r="X7" s="57"/>
      <c r="Y7" s="58"/>
      <c r="Z7" s="58"/>
      <c r="AA7" s="53"/>
      <c r="AB7" s="53"/>
      <c r="AC7" s="53"/>
      <c r="AD7" s="53"/>
      <c r="AE7" s="53"/>
      <c r="AF7" s="53"/>
      <c r="AG7" s="53"/>
    </row>
    <row r="8" spans="1:40">
      <c r="A8" s="51" t="s">
        <v>115</v>
      </c>
      <c r="B8" s="52"/>
      <c r="C8" s="52"/>
      <c r="D8" s="53"/>
      <c r="E8" s="53"/>
      <c r="F8" s="53"/>
      <c r="G8" s="54"/>
      <c r="H8" s="55"/>
      <c r="I8" s="54"/>
      <c r="J8" s="54"/>
      <c r="K8" s="54"/>
      <c r="L8" s="54"/>
      <c r="M8" s="54"/>
      <c r="N8" s="54"/>
      <c r="O8" s="53"/>
      <c r="P8" s="53"/>
      <c r="Q8" s="54"/>
      <c r="R8" s="56"/>
      <c r="S8" s="55"/>
      <c r="T8" s="53"/>
      <c r="U8" s="54"/>
      <c r="V8" s="53"/>
      <c r="W8" s="54"/>
      <c r="X8" s="57"/>
      <c r="Y8" s="58"/>
      <c r="Z8" s="58"/>
      <c r="AA8" s="53"/>
      <c r="AB8" s="53"/>
      <c r="AC8" s="53"/>
      <c r="AD8" s="53"/>
      <c r="AE8" s="53"/>
      <c r="AF8" s="53"/>
      <c r="AG8" s="53"/>
    </row>
    <row r="9" spans="1:40">
      <c r="A9" s="51" t="s">
        <v>116</v>
      </c>
      <c r="B9" s="52"/>
      <c r="C9" s="52"/>
      <c r="D9" s="53"/>
      <c r="E9" s="53"/>
      <c r="F9" s="53"/>
      <c r="G9" s="53"/>
      <c r="H9" s="60"/>
      <c r="I9" s="53"/>
      <c r="J9" s="53"/>
      <c r="K9" s="53"/>
      <c r="L9" s="53"/>
      <c r="M9" s="53"/>
      <c r="N9" s="53"/>
      <c r="O9" s="53"/>
      <c r="P9" s="53"/>
      <c r="Q9" s="53"/>
      <c r="R9" s="52"/>
      <c r="S9" s="53"/>
      <c r="T9" s="53"/>
      <c r="U9" s="53"/>
      <c r="V9" s="53"/>
      <c r="W9" s="53"/>
      <c r="X9" s="54"/>
      <c r="Y9" s="54"/>
      <c r="Z9" s="54"/>
      <c r="AA9" s="53"/>
      <c r="AB9" s="53"/>
      <c r="AC9" s="53"/>
      <c r="AD9" s="53"/>
      <c r="AE9" s="53"/>
      <c r="AF9" s="53"/>
      <c r="AG9" s="53"/>
    </row>
    <row r="10" spans="1:40">
      <c r="A10" s="51" t="s">
        <v>117</v>
      </c>
      <c r="B10" s="52"/>
      <c r="C10" s="52"/>
      <c r="D10" s="53"/>
      <c r="E10" s="53"/>
      <c r="F10" s="53"/>
      <c r="G10" s="53"/>
      <c r="H10" s="60"/>
      <c r="I10" s="53"/>
      <c r="J10" s="53"/>
      <c r="K10" s="53"/>
      <c r="L10" s="53"/>
      <c r="M10" s="53"/>
      <c r="N10" s="53"/>
      <c r="O10" s="53"/>
      <c r="P10" s="53"/>
      <c r="Q10" s="53"/>
      <c r="R10" s="52"/>
      <c r="S10" s="53"/>
      <c r="T10" s="53"/>
      <c r="U10" s="53"/>
      <c r="V10" s="53"/>
      <c r="W10" s="53"/>
      <c r="X10" s="54"/>
      <c r="Y10" s="54"/>
      <c r="Z10" s="54"/>
      <c r="AA10" s="53"/>
      <c r="AB10" s="53"/>
      <c r="AC10" s="53"/>
      <c r="AD10" s="53"/>
      <c r="AE10" s="53"/>
      <c r="AF10" s="53"/>
      <c r="AG10" s="53"/>
    </row>
    <row r="11" spans="1:40">
      <c r="A11" s="51" t="s">
        <v>118</v>
      </c>
      <c r="B11" s="52"/>
      <c r="C11" s="52"/>
      <c r="D11" s="53"/>
      <c r="E11" s="53"/>
      <c r="F11" s="53"/>
      <c r="G11" s="53"/>
      <c r="H11" s="60"/>
      <c r="I11" s="53"/>
      <c r="J11" s="53"/>
      <c r="K11" s="53"/>
      <c r="L11" s="53"/>
      <c r="M11" s="53"/>
      <c r="N11" s="53"/>
      <c r="O11" s="53"/>
      <c r="P11" s="53"/>
      <c r="Q11" s="53"/>
      <c r="R11" s="52"/>
      <c r="S11" s="53"/>
      <c r="T11" s="53"/>
      <c r="U11" s="53"/>
      <c r="V11" s="53"/>
      <c r="W11" s="53"/>
      <c r="X11" s="54"/>
      <c r="Y11" s="54"/>
      <c r="Z11" s="54"/>
      <c r="AA11" s="53"/>
      <c r="AB11" s="53"/>
      <c r="AC11" s="53"/>
      <c r="AD11" s="53"/>
      <c r="AE11" s="53"/>
      <c r="AF11" s="53"/>
      <c r="AG11" s="53"/>
    </row>
    <row r="12" spans="1:40">
      <c r="A12" s="51" t="s">
        <v>119</v>
      </c>
      <c r="B12" s="52"/>
      <c r="C12" s="52"/>
      <c r="D12" s="53"/>
      <c r="E12" s="53"/>
      <c r="F12" s="53"/>
      <c r="G12" s="53"/>
      <c r="H12" s="60"/>
      <c r="I12" s="53"/>
      <c r="J12" s="53"/>
      <c r="K12" s="53"/>
      <c r="L12" s="53"/>
      <c r="M12" s="53"/>
      <c r="N12" s="53"/>
      <c r="O12" s="53"/>
      <c r="P12" s="53"/>
      <c r="Q12" s="53"/>
      <c r="R12" s="52"/>
      <c r="S12" s="53"/>
      <c r="T12" s="53"/>
      <c r="U12" s="53"/>
      <c r="V12" s="53"/>
      <c r="W12" s="53"/>
      <c r="X12" s="54"/>
      <c r="Y12" s="54"/>
      <c r="Z12" s="54"/>
      <c r="AA12" s="53"/>
      <c r="AB12" s="53"/>
      <c r="AC12" s="53"/>
      <c r="AD12" s="53"/>
      <c r="AE12" s="53"/>
      <c r="AF12" s="53"/>
      <c r="AG12" s="53"/>
    </row>
    <row r="13" spans="1:40">
      <c r="A13" s="51" t="s">
        <v>120</v>
      </c>
      <c r="B13" s="52"/>
      <c r="C13" s="52"/>
      <c r="D13" s="53"/>
      <c r="E13" s="53"/>
      <c r="F13" s="53"/>
      <c r="G13" s="53"/>
      <c r="H13" s="60"/>
      <c r="I13" s="53"/>
      <c r="J13" s="53"/>
      <c r="K13" s="53"/>
      <c r="L13" s="53"/>
      <c r="M13" s="53"/>
      <c r="N13" s="53"/>
      <c r="O13" s="53"/>
      <c r="P13" s="53"/>
      <c r="Q13" s="53"/>
      <c r="R13" s="52"/>
      <c r="S13" s="53"/>
      <c r="T13" s="53"/>
      <c r="U13" s="53"/>
      <c r="V13" s="53"/>
      <c r="W13" s="53"/>
      <c r="X13" s="54"/>
      <c r="Y13" s="54"/>
      <c r="Z13" s="54"/>
      <c r="AA13" s="53"/>
      <c r="AB13" s="53"/>
      <c r="AC13" s="53"/>
      <c r="AD13" s="53"/>
      <c r="AE13" s="53"/>
      <c r="AF13" s="53"/>
      <c r="AG13" s="53"/>
    </row>
    <row r="14" spans="1:40">
      <c r="A14" s="51" t="s">
        <v>121</v>
      </c>
      <c r="B14" s="52"/>
      <c r="C14" s="52"/>
      <c r="D14" s="53"/>
      <c r="E14" s="53"/>
      <c r="F14" s="53"/>
      <c r="G14" s="61"/>
      <c r="H14" s="60"/>
      <c r="I14" s="53"/>
      <c r="J14" s="53"/>
      <c r="K14" s="53"/>
      <c r="L14" s="61"/>
      <c r="M14" s="61"/>
      <c r="N14" s="61"/>
      <c r="O14" s="53"/>
      <c r="P14" s="53"/>
      <c r="Q14" s="61"/>
      <c r="R14" s="71"/>
      <c r="S14" s="61"/>
      <c r="T14" s="53"/>
      <c r="U14" s="61"/>
      <c r="V14" s="53"/>
      <c r="W14" s="61"/>
      <c r="X14" s="57"/>
      <c r="Y14" s="58"/>
      <c r="Z14" s="54"/>
      <c r="AA14" s="53"/>
      <c r="AB14" s="53"/>
      <c r="AC14" s="53"/>
      <c r="AD14" s="53"/>
      <c r="AE14" s="53"/>
      <c r="AF14" s="53"/>
      <c r="AG14" s="53"/>
    </row>
    <row r="15" spans="1:40">
      <c r="A15" s="51" t="s">
        <v>122</v>
      </c>
      <c r="B15" s="52"/>
      <c r="C15" s="52"/>
      <c r="D15" s="53"/>
      <c r="E15" s="53"/>
      <c r="F15" s="53"/>
      <c r="G15" s="53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2"/>
      <c r="S15" s="53"/>
      <c r="T15" s="53"/>
      <c r="U15" s="53"/>
      <c r="V15" s="53"/>
      <c r="W15" s="53"/>
      <c r="X15" s="54"/>
      <c r="Y15" s="54"/>
      <c r="Z15" s="54"/>
      <c r="AA15" s="53"/>
      <c r="AB15" s="53"/>
      <c r="AC15" s="53"/>
      <c r="AD15" s="53"/>
      <c r="AE15" s="53"/>
      <c r="AF15" s="53"/>
      <c r="AG15" s="53"/>
    </row>
    <row r="16" spans="1:40">
      <c r="A16" s="51" t="s">
        <v>123</v>
      </c>
      <c r="B16" s="52"/>
      <c r="C16" s="52"/>
      <c r="D16" s="53"/>
      <c r="E16" s="53"/>
      <c r="F16" s="53"/>
      <c r="G16" s="53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2"/>
      <c r="S16" s="53"/>
      <c r="T16" s="53"/>
      <c r="U16" s="53"/>
      <c r="V16" s="53"/>
      <c r="W16" s="53"/>
      <c r="X16" s="54"/>
      <c r="Y16" s="54"/>
      <c r="Z16" s="54"/>
      <c r="AA16" s="53"/>
      <c r="AB16" s="53"/>
      <c r="AC16" s="53"/>
      <c r="AD16" s="53"/>
      <c r="AE16" s="53"/>
      <c r="AF16" s="53"/>
      <c r="AG16" s="53"/>
    </row>
    <row r="17" spans="1:33">
      <c r="A17" s="51" t="s">
        <v>124</v>
      </c>
      <c r="B17" s="52"/>
      <c r="C17" s="52"/>
      <c r="D17" s="53"/>
      <c r="E17" s="53"/>
      <c r="F17" s="53"/>
      <c r="G17" s="53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2"/>
      <c r="S17" s="53"/>
      <c r="T17" s="53"/>
      <c r="U17" s="53"/>
      <c r="V17" s="53"/>
      <c r="W17" s="53"/>
      <c r="X17" s="54"/>
      <c r="Y17" s="54"/>
      <c r="Z17" s="54"/>
      <c r="AA17" s="53"/>
      <c r="AB17" s="53"/>
      <c r="AC17" s="53"/>
      <c r="AD17" s="53"/>
      <c r="AE17" s="53"/>
      <c r="AF17" s="53"/>
      <c r="AG17" s="53"/>
    </row>
    <row r="18" spans="1:33">
      <c r="A18" s="51" t="s">
        <v>125</v>
      </c>
      <c r="B18" s="52"/>
      <c r="C18" s="52"/>
      <c r="D18" s="53"/>
      <c r="E18" s="53"/>
      <c r="F18" s="53"/>
      <c r="G18" s="53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2"/>
      <c r="S18" s="53"/>
      <c r="T18" s="53"/>
      <c r="U18" s="53"/>
      <c r="V18" s="53"/>
      <c r="W18" s="53"/>
      <c r="X18" s="54"/>
      <c r="Y18" s="54"/>
      <c r="Z18" s="54"/>
      <c r="AA18" s="53"/>
      <c r="AB18" s="53"/>
      <c r="AC18" s="53"/>
      <c r="AD18" s="53"/>
      <c r="AE18" s="53"/>
      <c r="AF18" s="53"/>
      <c r="AG18" s="53"/>
    </row>
    <row r="19" spans="1:33">
      <c r="A19" s="51" t="s">
        <v>126</v>
      </c>
      <c r="B19" s="52"/>
      <c r="C19" s="52"/>
      <c r="D19" s="53"/>
      <c r="E19" s="53"/>
      <c r="F19" s="53"/>
      <c r="G19" s="53"/>
      <c r="H19" s="60"/>
      <c r="I19" s="53"/>
      <c r="J19" s="53"/>
      <c r="K19" s="53"/>
      <c r="L19" s="53"/>
      <c r="M19" s="53"/>
      <c r="N19" s="53"/>
      <c r="O19" s="53"/>
      <c r="P19" s="53"/>
      <c r="Q19" s="53"/>
      <c r="R19" s="52"/>
      <c r="S19" s="53"/>
      <c r="T19" s="53"/>
      <c r="U19" s="53"/>
      <c r="V19" s="53"/>
      <c r="W19" s="53"/>
      <c r="X19" s="54"/>
      <c r="Y19" s="54"/>
      <c r="Z19" s="54"/>
      <c r="AA19" s="53"/>
      <c r="AB19" s="53"/>
      <c r="AC19" s="53"/>
      <c r="AD19" s="53"/>
      <c r="AE19" s="53"/>
      <c r="AF19" s="53"/>
      <c r="AG19" s="53"/>
    </row>
  </sheetData>
  <mergeCells count="34">
    <mergeCell ref="AF4:AF5"/>
    <mergeCell ref="R4:S4"/>
    <mergeCell ref="P2:S3"/>
    <mergeCell ref="T2:Z2"/>
    <mergeCell ref="P4:P5"/>
    <mergeCell ref="Q4:Q5"/>
    <mergeCell ref="A2:G2"/>
    <mergeCell ref="AA4:AB4"/>
    <mergeCell ref="AC4:AD4"/>
    <mergeCell ref="T4:U4"/>
    <mergeCell ref="G3:G5"/>
    <mergeCell ref="H3:H5"/>
    <mergeCell ref="A3:A5"/>
    <mergeCell ref="B3:B5"/>
    <mergeCell ref="C3:C5"/>
    <mergeCell ref="D3:D5"/>
    <mergeCell ref="E3:E5"/>
    <mergeCell ref="F3:F5"/>
    <mergeCell ref="V4:W4"/>
    <mergeCell ref="AG1:AG5"/>
    <mergeCell ref="AI1:AK4"/>
    <mergeCell ref="H2:O2"/>
    <mergeCell ref="AA2:AD3"/>
    <mergeCell ref="AE2:AF3"/>
    <mergeCell ref="I3:J4"/>
    <mergeCell ref="K3:K5"/>
    <mergeCell ref="L3:N3"/>
    <mergeCell ref="O3:O5"/>
    <mergeCell ref="A1:S1"/>
    <mergeCell ref="T1:AF1"/>
    <mergeCell ref="T3:W3"/>
    <mergeCell ref="X3:Z3"/>
    <mergeCell ref="L4:L5"/>
    <mergeCell ref="AE4:AE5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7027-0746-401A-83AA-D295AF85733B}">
  <dimension ref="A1:E99"/>
  <sheetViews>
    <sheetView topLeftCell="A55" workbookViewId="0">
      <selection activeCell="D18" sqref="D18"/>
    </sheetView>
  </sheetViews>
  <sheetFormatPr defaultRowHeight="14.4"/>
  <cols>
    <col min="1" max="1" width="11.21875" customWidth="1"/>
    <col min="2" max="2" width="11.6640625" style="9" customWidth="1"/>
    <col min="3" max="3" width="12.6640625" style="9" customWidth="1"/>
    <col min="4" max="4" width="154.77734375" style="9" customWidth="1"/>
  </cols>
  <sheetData>
    <row r="1" spans="1:5" s="74" customFormat="1" ht="15.6">
      <c r="A1" s="72" t="s">
        <v>134</v>
      </c>
      <c r="B1" s="73" t="s">
        <v>135</v>
      </c>
      <c r="C1" s="73" t="s">
        <v>136</v>
      </c>
      <c r="D1" s="73" t="s">
        <v>137</v>
      </c>
    </row>
    <row r="2" spans="1:5" s="12" customFormat="1" ht="15.6" customHeight="1">
      <c r="A2" s="134" t="s">
        <v>138</v>
      </c>
      <c r="B2" s="75" t="s">
        <v>139</v>
      </c>
      <c r="C2" s="76" t="s">
        <v>140</v>
      </c>
      <c r="D2" s="76" t="s">
        <v>141</v>
      </c>
      <c r="E2" s="135" t="s">
        <v>142</v>
      </c>
    </row>
    <row r="3" spans="1:5" s="12" customFormat="1" ht="15.6" customHeight="1">
      <c r="A3" s="134"/>
      <c r="B3" s="75" t="s">
        <v>143</v>
      </c>
      <c r="C3" s="76" t="s">
        <v>144</v>
      </c>
      <c r="D3" s="76" t="s">
        <v>145</v>
      </c>
      <c r="E3" s="135"/>
    </row>
    <row r="4" spans="1:5" s="12" customFormat="1" ht="15.6" customHeight="1">
      <c r="A4" s="134"/>
      <c r="B4" s="75" t="s">
        <v>146</v>
      </c>
      <c r="C4" s="76" t="s">
        <v>147</v>
      </c>
      <c r="D4" s="76" t="s">
        <v>148</v>
      </c>
      <c r="E4" s="135"/>
    </row>
    <row r="5" spans="1:5" s="12" customFormat="1" ht="15.6" customHeight="1">
      <c r="A5" s="134"/>
      <c r="B5" s="75" t="s">
        <v>149</v>
      </c>
      <c r="C5" s="76" t="s">
        <v>150</v>
      </c>
      <c r="D5" s="76" t="s">
        <v>151</v>
      </c>
      <c r="E5" s="135"/>
    </row>
    <row r="6" spans="1:5" s="12" customFormat="1" ht="15.6" customHeight="1">
      <c r="A6" s="134"/>
      <c r="B6" s="75" t="s">
        <v>152</v>
      </c>
      <c r="C6" s="76" t="s">
        <v>153</v>
      </c>
      <c r="D6" s="76" t="s">
        <v>154</v>
      </c>
      <c r="E6" s="135"/>
    </row>
    <row r="7" spans="1:5" s="12" customFormat="1" ht="15.6" customHeight="1">
      <c r="A7" s="134"/>
      <c r="B7" s="75" t="s">
        <v>155</v>
      </c>
      <c r="C7" s="76" t="s">
        <v>156</v>
      </c>
      <c r="D7" s="76" t="s">
        <v>157</v>
      </c>
      <c r="E7" s="135"/>
    </row>
    <row r="8" spans="1:5" s="12" customFormat="1" ht="15.6" customHeight="1">
      <c r="A8" s="134"/>
      <c r="B8" s="75" t="s">
        <v>158</v>
      </c>
      <c r="C8" s="76" t="s">
        <v>159</v>
      </c>
      <c r="D8" s="76" t="s">
        <v>160</v>
      </c>
      <c r="E8" s="77"/>
    </row>
    <row r="9" spans="1:5" s="12" customFormat="1" ht="15.6" customHeight="1">
      <c r="A9" s="134"/>
      <c r="B9" s="75" t="s">
        <v>161</v>
      </c>
      <c r="C9" s="76" t="s">
        <v>162</v>
      </c>
      <c r="D9" s="76" t="s">
        <v>163</v>
      </c>
      <c r="E9" s="77"/>
    </row>
    <row r="10" spans="1:5" s="12" customFormat="1" ht="15.6" customHeight="1">
      <c r="A10" s="134"/>
      <c r="B10" s="75" t="s">
        <v>164</v>
      </c>
      <c r="C10" s="76" t="s">
        <v>165</v>
      </c>
      <c r="D10" s="76" t="s">
        <v>166</v>
      </c>
      <c r="E10" s="77"/>
    </row>
    <row r="11" spans="1:5" s="12" customFormat="1" ht="15.6" customHeight="1">
      <c r="A11" s="134"/>
      <c r="B11" s="75" t="s">
        <v>167</v>
      </c>
      <c r="C11" s="76" t="s">
        <v>168</v>
      </c>
      <c r="D11" s="76" t="s">
        <v>169</v>
      </c>
      <c r="E11" s="77"/>
    </row>
    <row r="12" spans="1:5" s="12" customFormat="1" ht="15.6" customHeight="1">
      <c r="A12" s="134"/>
      <c r="B12" s="75" t="s">
        <v>170</v>
      </c>
      <c r="C12" s="76" t="s">
        <v>171</v>
      </c>
      <c r="D12" s="76" t="s">
        <v>172</v>
      </c>
      <c r="E12" s="77"/>
    </row>
    <row r="13" spans="1:5" s="12" customFormat="1" ht="15.6" customHeight="1">
      <c r="A13" s="134"/>
      <c r="B13" s="75" t="s">
        <v>173</v>
      </c>
      <c r="C13" s="76" t="s">
        <v>174</v>
      </c>
      <c r="D13" s="76" t="s">
        <v>175</v>
      </c>
      <c r="E13" s="77"/>
    </row>
    <row r="14" spans="1:5" s="12" customFormat="1" ht="15.6" customHeight="1">
      <c r="A14" s="134"/>
      <c r="B14" s="75" t="s">
        <v>176</v>
      </c>
      <c r="C14" s="76" t="s">
        <v>177</v>
      </c>
      <c r="D14" s="76" t="s">
        <v>178</v>
      </c>
      <c r="E14" s="77"/>
    </row>
    <row r="15" spans="1:5" s="12" customFormat="1" ht="15.6" customHeight="1">
      <c r="A15" s="134"/>
      <c r="B15" s="75" t="s">
        <v>179</v>
      </c>
      <c r="C15" s="76" t="s">
        <v>180</v>
      </c>
      <c r="D15" s="76" t="s">
        <v>181</v>
      </c>
      <c r="E15" s="77"/>
    </row>
    <row r="16" spans="1:5" s="12" customFormat="1" ht="15.6" customHeight="1">
      <c r="A16" s="134"/>
      <c r="B16" s="75" t="s">
        <v>182</v>
      </c>
      <c r="C16" s="76" t="s">
        <v>183</v>
      </c>
      <c r="D16" s="76" t="s">
        <v>184</v>
      </c>
      <c r="E16" s="77"/>
    </row>
    <row r="17" spans="1:5" s="12" customFormat="1" ht="15.6" customHeight="1">
      <c r="A17" s="134"/>
      <c r="B17" s="75" t="s">
        <v>185</v>
      </c>
      <c r="C17" s="76" t="s">
        <v>186</v>
      </c>
      <c r="D17" s="76" t="s">
        <v>187</v>
      </c>
      <c r="E17" s="77"/>
    </row>
    <row r="18" spans="1:5" s="12" customFormat="1" ht="15.6" customHeight="1">
      <c r="A18" s="134"/>
      <c r="B18" s="75" t="s">
        <v>188</v>
      </c>
      <c r="C18" s="76" t="s">
        <v>189</v>
      </c>
      <c r="D18" s="76" t="s">
        <v>190</v>
      </c>
      <c r="E18" s="77"/>
    </row>
    <row r="19" spans="1:5" s="12" customFormat="1" ht="15.6" customHeight="1">
      <c r="A19" s="134"/>
      <c r="B19" s="75" t="s">
        <v>191</v>
      </c>
      <c r="C19" s="76" t="s">
        <v>192</v>
      </c>
      <c r="D19" s="76" t="s">
        <v>193</v>
      </c>
      <c r="E19" s="77"/>
    </row>
    <row r="20" spans="1:5" s="12" customFormat="1" ht="15.6" customHeight="1">
      <c r="A20" s="134"/>
      <c r="B20" s="75" t="s">
        <v>194</v>
      </c>
      <c r="C20" s="76" t="s">
        <v>195</v>
      </c>
      <c r="D20" s="76" t="s">
        <v>196</v>
      </c>
      <c r="E20" s="77"/>
    </row>
    <row r="21" spans="1:5" s="12" customFormat="1" ht="15.6" customHeight="1">
      <c r="A21" s="134"/>
      <c r="B21" s="75" t="s">
        <v>197</v>
      </c>
      <c r="C21" s="76" t="s">
        <v>198</v>
      </c>
      <c r="D21" s="76" t="s">
        <v>199</v>
      </c>
      <c r="E21" s="77"/>
    </row>
    <row r="22" spans="1:5" s="12" customFormat="1" ht="15.6" customHeight="1">
      <c r="A22" s="134"/>
      <c r="B22" s="75" t="s">
        <v>200</v>
      </c>
      <c r="C22" s="78" t="s">
        <v>201</v>
      </c>
      <c r="D22" s="78" t="s">
        <v>202</v>
      </c>
      <c r="E22" s="77"/>
    </row>
    <row r="23" spans="1:5" s="12" customFormat="1" ht="15.6" customHeight="1">
      <c r="A23" s="134"/>
      <c r="B23" s="75" t="s">
        <v>203</v>
      </c>
      <c r="C23" s="78" t="s">
        <v>204</v>
      </c>
      <c r="D23" s="78" t="s">
        <v>205</v>
      </c>
      <c r="E23" s="77"/>
    </row>
    <row r="24" spans="1:5" s="81" customFormat="1" ht="15" customHeight="1">
      <c r="A24" s="136" t="s">
        <v>206</v>
      </c>
      <c r="B24" s="79" t="s">
        <v>207</v>
      </c>
      <c r="C24" s="80" t="s">
        <v>208</v>
      </c>
      <c r="D24" s="80" t="s">
        <v>209</v>
      </c>
    </row>
    <row r="25" spans="1:5" s="81" customFormat="1" ht="15" customHeight="1">
      <c r="A25" s="137"/>
      <c r="B25" s="79" t="s">
        <v>210</v>
      </c>
      <c r="C25" s="80" t="s">
        <v>211</v>
      </c>
      <c r="D25" s="80" t="s">
        <v>212</v>
      </c>
    </row>
    <row r="26" spans="1:5" s="81" customFormat="1" ht="15" customHeight="1">
      <c r="A26" s="137"/>
      <c r="B26" s="79" t="s">
        <v>213</v>
      </c>
      <c r="C26" s="80" t="s">
        <v>214</v>
      </c>
      <c r="D26" s="80" t="s">
        <v>215</v>
      </c>
    </row>
    <row r="27" spans="1:5" s="81" customFormat="1" ht="15" customHeight="1">
      <c r="A27" s="137"/>
      <c r="B27" s="79" t="s">
        <v>216</v>
      </c>
      <c r="C27" s="80" t="s">
        <v>217</v>
      </c>
      <c r="D27" s="80" t="s">
        <v>218</v>
      </c>
    </row>
    <row r="28" spans="1:5" s="81" customFormat="1" ht="15" customHeight="1">
      <c r="A28" s="137"/>
      <c r="B28" s="79" t="s">
        <v>219</v>
      </c>
      <c r="C28" s="80" t="s">
        <v>220</v>
      </c>
      <c r="D28" s="80" t="s">
        <v>221</v>
      </c>
    </row>
    <row r="29" spans="1:5" s="81" customFormat="1" ht="15" customHeight="1">
      <c r="A29" s="137"/>
      <c r="B29" s="79" t="s">
        <v>222</v>
      </c>
      <c r="C29" s="80" t="s">
        <v>223</v>
      </c>
      <c r="D29" s="80" t="s">
        <v>224</v>
      </c>
    </row>
    <row r="30" spans="1:5" s="81" customFormat="1" ht="15.6" customHeight="1">
      <c r="A30" s="137"/>
      <c r="B30" s="79" t="s">
        <v>225</v>
      </c>
      <c r="C30" s="80" t="s">
        <v>226</v>
      </c>
      <c r="D30" s="80" t="s">
        <v>227</v>
      </c>
    </row>
    <row r="31" spans="1:5" s="81" customFormat="1" ht="15.6" customHeight="1">
      <c r="A31" s="137"/>
      <c r="B31" s="79" t="s">
        <v>228</v>
      </c>
      <c r="C31" s="80" t="s">
        <v>229</v>
      </c>
      <c r="D31" s="80" t="s">
        <v>230</v>
      </c>
    </row>
    <row r="32" spans="1:5" s="81" customFormat="1" ht="15.6" customHeight="1">
      <c r="A32" s="137"/>
      <c r="B32" s="79" t="s">
        <v>231</v>
      </c>
      <c r="C32" s="80" t="s">
        <v>232</v>
      </c>
      <c r="D32" s="80" t="s">
        <v>233</v>
      </c>
    </row>
    <row r="33" spans="1:4" s="81" customFormat="1" ht="15.6" customHeight="1">
      <c r="A33" s="137"/>
      <c r="B33" s="79" t="s">
        <v>234</v>
      </c>
      <c r="C33" s="80" t="s">
        <v>235</v>
      </c>
      <c r="D33" s="80" t="s">
        <v>236</v>
      </c>
    </row>
    <row r="34" spans="1:4" s="81" customFormat="1" ht="15.6" customHeight="1">
      <c r="A34" s="137"/>
      <c r="B34" s="79" t="s">
        <v>237</v>
      </c>
      <c r="C34" s="80" t="s">
        <v>238</v>
      </c>
      <c r="D34" s="80" t="s">
        <v>239</v>
      </c>
    </row>
    <row r="35" spans="1:4" s="81" customFormat="1" ht="15.6" customHeight="1">
      <c r="A35" s="137"/>
      <c r="B35" s="79" t="s">
        <v>240</v>
      </c>
      <c r="C35" s="80" t="s">
        <v>241</v>
      </c>
      <c r="D35" s="80" t="s">
        <v>242</v>
      </c>
    </row>
    <row r="36" spans="1:4" s="81" customFormat="1" ht="15.6" customHeight="1">
      <c r="A36" s="137"/>
      <c r="B36" s="79" t="s">
        <v>243</v>
      </c>
      <c r="C36" s="80" t="s">
        <v>244</v>
      </c>
      <c r="D36" s="80" t="s">
        <v>245</v>
      </c>
    </row>
    <row r="37" spans="1:4" s="81" customFormat="1" ht="15.6" customHeight="1">
      <c r="A37" s="137"/>
      <c r="B37" s="79" t="s">
        <v>246</v>
      </c>
      <c r="C37" s="80" t="s">
        <v>247</v>
      </c>
      <c r="D37" s="80" t="s">
        <v>248</v>
      </c>
    </row>
    <row r="38" spans="1:4" s="81" customFormat="1" ht="15.6" customHeight="1">
      <c r="A38" s="137"/>
      <c r="B38" s="79" t="s">
        <v>249</v>
      </c>
      <c r="C38" s="80" t="s">
        <v>250</v>
      </c>
      <c r="D38" s="80" t="s">
        <v>251</v>
      </c>
    </row>
    <row r="39" spans="1:4" s="81" customFormat="1" ht="15.6" customHeight="1">
      <c r="A39" s="137"/>
      <c r="B39" s="79" t="s">
        <v>252</v>
      </c>
      <c r="C39" s="80" t="s">
        <v>253</v>
      </c>
      <c r="D39" s="80" t="s">
        <v>254</v>
      </c>
    </row>
    <row r="40" spans="1:4" s="81" customFormat="1" ht="15.6" customHeight="1">
      <c r="A40" s="137"/>
      <c r="B40" s="79" t="s">
        <v>255</v>
      </c>
      <c r="C40" s="80" t="s">
        <v>256</v>
      </c>
      <c r="D40" s="80" t="s">
        <v>257</v>
      </c>
    </row>
    <row r="41" spans="1:4" s="81" customFormat="1" ht="15.6" customHeight="1">
      <c r="A41" s="137"/>
      <c r="B41" s="79" t="s">
        <v>258</v>
      </c>
      <c r="C41" s="80" t="s">
        <v>259</v>
      </c>
      <c r="D41" s="80" t="s">
        <v>260</v>
      </c>
    </row>
    <row r="42" spans="1:4" s="81" customFormat="1" ht="15.6" customHeight="1">
      <c r="A42" s="137"/>
      <c r="B42" s="79" t="s">
        <v>261</v>
      </c>
      <c r="C42" s="80" t="s">
        <v>262</v>
      </c>
      <c r="D42" s="80" t="s">
        <v>263</v>
      </c>
    </row>
    <row r="43" spans="1:4" s="81" customFormat="1" ht="15.6" customHeight="1">
      <c r="A43" s="137"/>
      <c r="B43" s="79" t="s">
        <v>264</v>
      </c>
      <c r="C43" s="80" t="s">
        <v>265</v>
      </c>
      <c r="D43" s="80" t="s">
        <v>266</v>
      </c>
    </row>
    <row r="44" spans="1:4" s="81" customFormat="1" ht="15.6" customHeight="1">
      <c r="A44" s="137"/>
      <c r="B44" s="79" t="s">
        <v>267</v>
      </c>
      <c r="C44" s="80" t="s">
        <v>268</v>
      </c>
      <c r="D44" s="80" t="s">
        <v>269</v>
      </c>
    </row>
    <row r="45" spans="1:4" s="81" customFormat="1" ht="15.6" customHeight="1">
      <c r="A45" s="137"/>
      <c r="B45" s="79" t="s">
        <v>270</v>
      </c>
      <c r="C45" s="80" t="s">
        <v>271</v>
      </c>
      <c r="D45" s="80" t="s">
        <v>272</v>
      </c>
    </row>
    <row r="46" spans="1:4" s="81" customFormat="1" ht="15.6" customHeight="1">
      <c r="A46" s="137"/>
      <c r="B46" s="79" t="s">
        <v>273</v>
      </c>
      <c r="C46" s="80" t="s">
        <v>274</v>
      </c>
      <c r="D46" s="80" t="s">
        <v>275</v>
      </c>
    </row>
    <row r="47" spans="1:4" s="81" customFormat="1" ht="15.6" customHeight="1">
      <c r="A47" s="137"/>
      <c r="B47" s="79" t="s">
        <v>276</v>
      </c>
      <c r="C47" s="80" t="s">
        <v>277</v>
      </c>
      <c r="D47" s="80" t="s">
        <v>278</v>
      </c>
    </row>
    <row r="48" spans="1:4" s="81" customFormat="1" ht="15.6" customHeight="1">
      <c r="A48" s="138"/>
      <c r="B48" s="79" t="s">
        <v>279</v>
      </c>
      <c r="C48" s="80"/>
      <c r="D48" s="80"/>
    </row>
    <row r="49" spans="1:4" s="81" customFormat="1" ht="15.6" customHeight="1">
      <c r="A49" s="82"/>
      <c r="B49" s="79" t="s">
        <v>280</v>
      </c>
      <c r="C49" s="78" t="s">
        <v>281</v>
      </c>
      <c r="D49" s="78" t="s">
        <v>282</v>
      </c>
    </row>
    <row r="50" spans="1:4" s="81" customFormat="1" ht="15.6" customHeight="1">
      <c r="A50" s="82"/>
      <c r="B50" s="79" t="s">
        <v>283</v>
      </c>
      <c r="C50" s="78" t="s">
        <v>284</v>
      </c>
      <c r="D50" s="78" t="s">
        <v>285</v>
      </c>
    </row>
    <row r="51" spans="1:4" s="81" customFormat="1" ht="15.6" customHeight="1">
      <c r="A51" s="82"/>
      <c r="B51" s="79" t="s">
        <v>286</v>
      </c>
      <c r="C51" s="78" t="s">
        <v>287</v>
      </c>
      <c r="D51" s="78" t="s">
        <v>288</v>
      </c>
    </row>
    <row r="52" spans="1:4" s="81" customFormat="1" ht="15.6" customHeight="1">
      <c r="A52" s="82"/>
      <c r="B52" s="79" t="s">
        <v>289</v>
      </c>
      <c r="C52" s="78" t="s">
        <v>290</v>
      </c>
      <c r="D52" s="78" t="s">
        <v>291</v>
      </c>
    </row>
    <row r="53" spans="1:4" s="81" customFormat="1" ht="15.6" customHeight="1">
      <c r="A53" s="82"/>
      <c r="B53" s="79" t="s">
        <v>292</v>
      </c>
      <c r="C53" s="78" t="s">
        <v>293</v>
      </c>
      <c r="D53" s="78" t="s">
        <v>294</v>
      </c>
    </row>
    <row r="54" spans="1:4" s="81" customFormat="1" ht="15.6" customHeight="1">
      <c r="A54" s="82"/>
      <c r="B54" s="79" t="s">
        <v>295</v>
      </c>
      <c r="C54" s="80"/>
      <c r="D54" s="80"/>
    </row>
    <row r="55" spans="1:4" s="81" customFormat="1" ht="15.6" customHeight="1">
      <c r="A55" s="82"/>
      <c r="B55" s="79" t="s">
        <v>296</v>
      </c>
      <c r="C55" s="80"/>
      <c r="D55" s="80"/>
    </row>
    <row r="56" spans="1:4" s="81" customFormat="1" ht="15.6" customHeight="1">
      <c r="A56" s="82" t="s">
        <v>297</v>
      </c>
      <c r="B56" s="79" t="s">
        <v>298</v>
      </c>
      <c r="C56" s="80"/>
      <c r="D56" s="80"/>
    </row>
    <row r="57" spans="1:4" s="81" customFormat="1" ht="15.6" customHeight="1">
      <c r="A57" s="82"/>
      <c r="B57" s="79" t="s">
        <v>299</v>
      </c>
      <c r="C57" s="80"/>
      <c r="D57" s="80"/>
    </row>
    <row r="58" spans="1:4" s="81" customFormat="1" ht="15.6" customHeight="1">
      <c r="A58" s="82"/>
      <c r="B58" s="79" t="s">
        <v>300</v>
      </c>
      <c r="C58" s="80"/>
      <c r="D58" s="80"/>
    </row>
    <row r="59" spans="1:4" s="81" customFormat="1" ht="15.6" customHeight="1">
      <c r="A59" s="82"/>
      <c r="B59" s="79"/>
      <c r="C59" s="80"/>
      <c r="D59" s="80"/>
    </row>
    <row r="60" spans="1:4" s="85" customFormat="1" ht="15" customHeight="1">
      <c r="A60" s="139" t="s">
        <v>301</v>
      </c>
      <c r="B60" s="83" t="s">
        <v>302</v>
      </c>
      <c r="C60" s="84" t="s">
        <v>303</v>
      </c>
      <c r="D60" s="84" t="s">
        <v>304</v>
      </c>
    </row>
    <row r="61" spans="1:4" s="85" customFormat="1" ht="15" customHeight="1">
      <c r="A61" s="140"/>
      <c r="B61" s="83" t="s">
        <v>305</v>
      </c>
      <c r="C61" s="84" t="s">
        <v>306</v>
      </c>
      <c r="D61" s="84" t="s">
        <v>307</v>
      </c>
    </row>
    <row r="62" spans="1:4" s="85" customFormat="1" ht="15" customHeight="1">
      <c r="A62" s="140"/>
      <c r="B62" s="83" t="s">
        <v>308</v>
      </c>
      <c r="C62" s="84" t="s">
        <v>309</v>
      </c>
      <c r="D62" s="84" t="s">
        <v>310</v>
      </c>
    </row>
    <row r="63" spans="1:4" s="85" customFormat="1" ht="15" customHeight="1">
      <c r="A63" s="140"/>
      <c r="B63" s="83" t="s">
        <v>311</v>
      </c>
      <c r="C63" s="84" t="s">
        <v>312</v>
      </c>
      <c r="D63" s="84" t="s">
        <v>313</v>
      </c>
    </row>
    <row r="64" spans="1:4" s="85" customFormat="1" ht="15" customHeight="1">
      <c r="A64" s="140"/>
      <c r="B64" s="83" t="s">
        <v>314</v>
      </c>
      <c r="C64" s="84" t="s">
        <v>315</v>
      </c>
      <c r="D64" s="84" t="s">
        <v>316</v>
      </c>
    </row>
    <row r="65" spans="1:4" s="85" customFormat="1" ht="15" customHeight="1">
      <c r="A65" s="140"/>
      <c r="B65" s="83" t="s">
        <v>317</v>
      </c>
      <c r="C65" s="84" t="s">
        <v>318</v>
      </c>
      <c r="D65" s="84" t="s">
        <v>319</v>
      </c>
    </row>
    <row r="66" spans="1:4" s="85" customFormat="1" ht="15" customHeight="1">
      <c r="A66" s="140"/>
      <c r="B66" s="83" t="s">
        <v>320</v>
      </c>
      <c r="C66" s="84" t="s">
        <v>321</v>
      </c>
      <c r="D66" s="84" t="s">
        <v>322</v>
      </c>
    </row>
    <row r="67" spans="1:4" s="85" customFormat="1" ht="15" customHeight="1">
      <c r="A67" s="140"/>
      <c r="B67" s="83" t="s">
        <v>323</v>
      </c>
      <c r="C67" s="84" t="s">
        <v>324</v>
      </c>
      <c r="D67" s="84" t="s">
        <v>325</v>
      </c>
    </row>
    <row r="68" spans="1:4" s="85" customFormat="1" ht="15" customHeight="1">
      <c r="A68" s="140"/>
      <c r="B68" s="83" t="s">
        <v>326</v>
      </c>
      <c r="C68" s="84" t="s">
        <v>327</v>
      </c>
      <c r="D68" s="84" t="s">
        <v>328</v>
      </c>
    </row>
    <row r="69" spans="1:4" s="85" customFormat="1" ht="15" customHeight="1">
      <c r="A69" s="140"/>
      <c r="B69" s="83" t="s">
        <v>329</v>
      </c>
      <c r="C69" s="84" t="s">
        <v>330</v>
      </c>
      <c r="D69" s="84" t="s">
        <v>331</v>
      </c>
    </row>
    <row r="70" spans="1:4" s="85" customFormat="1" ht="15" customHeight="1">
      <c r="A70" s="140"/>
      <c r="B70" s="83" t="s">
        <v>332</v>
      </c>
      <c r="C70" s="84" t="s">
        <v>333</v>
      </c>
      <c r="D70" s="84" t="s">
        <v>334</v>
      </c>
    </row>
    <row r="71" spans="1:4" s="85" customFormat="1" ht="15" customHeight="1">
      <c r="A71" s="140"/>
      <c r="B71" s="83" t="s">
        <v>335</v>
      </c>
      <c r="C71" s="84"/>
      <c r="D71" s="84"/>
    </row>
    <row r="72" spans="1:4" s="85" customFormat="1" ht="15" customHeight="1">
      <c r="A72" s="140"/>
      <c r="B72" s="83"/>
      <c r="C72" s="84"/>
      <c r="D72" s="84"/>
    </row>
    <row r="73" spans="1:4" s="85" customFormat="1" ht="15">
      <c r="A73" s="133" t="s">
        <v>336</v>
      </c>
      <c r="B73" s="83" t="s">
        <v>337</v>
      </c>
      <c r="C73" s="84" t="s">
        <v>338</v>
      </c>
      <c r="D73" s="84" t="s">
        <v>339</v>
      </c>
    </row>
    <row r="74" spans="1:4" s="85" customFormat="1" ht="15">
      <c r="A74" s="133"/>
      <c r="B74" s="83" t="s">
        <v>340</v>
      </c>
      <c r="C74" s="84" t="s">
        <v>341</v>
      </c>
      <c r="D74" s="84" t="s">
        <v>342</v>
      </c>
    </row>
    <row r="75" spans="1:4" s="85" customFormat="1" ht="15">
      <c r="A75" s="133"/>
      <c r="B75" s="83" t="s">
        <v>343</v>
      </c>
      <c r="C75" s="84" t="s">
        <v>344</v>
      </c>
      <c r="D75" s="84" t="s">
        <v>345</v>
      </c>
    </row>
    <row r="76" spans="1:4" s="85" customFormat="1" ht="15">
      <c r="A76" s="133"/>
      <c r="B76" s="83" t="s">
        <v>346</v>
      </c>
      <c r="C76" s="84" t="s">
        <v>347</v>
      </c>
      <c r="D76" s="84" t="s">
        <v>348</v>
      </c>
    </row>
    <row r="77" spans="1:4" s="85" customFormat="1" ht="15">
      <c r="A77" s="133"/>
      <c r="B77" s="83" t="s">
        <v>349</v>
      </c>
      <c r="C77" s="84" t="s">
        <v>350</v>
      </c>
      <c r="D77" s="84" t="s">
        <v>351</v>
      </c>
    </row>
    <row r="78" spans="1:4" s="85" customFormat="1" ht="15">
      <c r="A78" s="133"/>
      <c r="B78" s="83" t="s">
        <v>352</v>
      </c>
      <c r="C78" s="84" t="s">
        <v>353</v>
      </c>
      <c r="D78" s="84" t="s">
        <v>354</v>
      </c>
    </row>
    <row r="79" spans="1:4" s="85" customFormat="1" ht="15">
      <c r="A79" s="133"/>
      <c r="B79" s="83" t="s">
        <v>355</v>
      </c>
      <c r="C79" s="84" t="s">
        <v>356</v>
      </c>
      <c r="D79" s="84" t="s">
        <v>357</v>
      </c>
    </row>
    <row r="80" spans="1:4" s="85" customFormat="1" ht="15">
      <c r="A80" s="133"/>
      <c r="B80" s="83" t="s">
        <v>358</v>
      </c>
      <c r="C80" s="84" t="s">
        <v>359</v>
      </c>
      <c r="D80" s="84" t="s">
        <v>360</v>
      </c>
    </row>
    <row r="81" spans="1:4" s="85" customFormat="1" ht="15">
      <c r="A81" s="133"/>
      <c r="B81" s="83" t="s">
        <v>361</v>
      </c>
      <c r="C81" s="84" t="s">
        <v>362</v>
      </c>
      <c r="D81" s="84" t="s">
        <v>363</v>
      </c>
    </row>
    <row r="82" spans="1:4" s="85" customFormat="1" ht="15">
      <c r="A82" s="133"/>
      <c r="B82" s="83" t="s">
        <v>364</v>
      </c>
      <c r="C82" s="84" t="s">
        <v>365</v>
      </c>
      <c r="D82" s="84" t="s">
        <v>366</v>
      </c>
    </row>
    <row r="83" spans="1:4" s="85" customFormat="1" ht="15">
      <c r="A83" s="133"/>
      <c r="B83" s="83" t="s">
        <v>367</v>
      </c>
      <c r="C83" s="84" t="s">
        <v>368</v>
      </c>
      <c r="D83" s="84" t="s">
        <v>369</v>
      </c>
    </row>
    <row r="84" spans="1:4" s="85" customFormat="1" ht="15">
      <c r="A84" s="133"/>
      <c r="B84" s="83" t="s">
        <v>370</v>
      </c>
      <c r="C84" s="84" t="s">
        <v>371</v>
      </c>
      <c r="D84" s="84" t="s">
        <v>372</v>
      </c>
    </row>
    <row r="85" spans="1:4" s="85" customFormat="1" ht="15">
      <c r="A85" s="133"/>
      <c r="B85" s="83" t="s">
        <v>373</v>
      </c>
      <c r="C85" s="84" t="s">
        <v>374</v>
      </c>
      <c r="D85" s="84" t="s">
        <v>375</v>
      </c>
    </row>
    <row r="86" spans="1:4" s="85" customFormat="1" ht="15">
      <c r="A86" s="133"/>
      <c r="B86" s="83" t="s">
        <v>376</v>
      </c>
      <c r="C86" s="84" t="s">
        <v>377</v>
      </c>
      <c r="D86" s="84" t="s">
        <v>378</v>
      </c>
    </row>
    <row r="87" spans="1:4" s="85" customFormat="1" ht="15">
      <c r="A87" s="133"/>
      <c r="B87" s="83" t="s">
        <v>379</v>
      </c>
      <c r="C87" s="84" t="s">
        <v>380</v>
      </c>
      <c r="D87" s="84" t="s">
        <v>381</v>
      </c>
    </row>
    <row r="88" spans="1:4" s="85" customFormat="1" ht="15">
      <c r="A88" s="133"/>
      <c r="B88" s="83" t="s">
        <v>382</v>
      </c>
      <c r="C88" s="84" t="s">
        <v>383</v>
      </c>
      <c r="D88" s="84" t="s">
        <v>384</v>
      </c>
    </row>
    <row r="89" spans="1:4" s="85" customFormat="1" ht="15">
      <c r="A89" s="133"/>
      <c r="B89" s="83" t="s">
        <v>385</v>
      </c>
      <c r="C89" s="84" t="s">
        <v>386</v>
      </c>
      <c r="D89" s="84" t="s">
        <v>387</v>
      </c>
    </row>
    <row r="90" spans="1:4" s="85" customFormat="1" ht="15">
      <c r="A90" s="133"/>
      <c r="B90" s="83" t="s">
        <v>388</v>
      </c>
      <c r="C90" s="84" t="s">
        <v>389</v>
      </c>
      <c r="D90" s="84" t="s">
        <v>390</v>
      </c>
    </row>
    <row r="91" spans="1:4" s="85" customFormat="1" ht="15">
      <c r="A91" s="133"/>
      <c r="B91" s="83" t="s">
        <v>391</v>
      </c>
      <c r="C91" s="84"/>
      <c r="D91" s="84"/>
    </row>
    <row r="92" spans="1:4" s="85" customFormat="1" ht="15">
      <c r="A92" s="133" t="s">
        <v>392</v>
      </c>
      <c r="B92" s="83" t="s">
        <v>393</v>
      </c>
      <c r="C92" s="84" t="s">
        <v>394</v>
      </c>
      <c r="D92" s="84" t="s">
        <v>395</v>
      </c>
    </row>
    <row r="93" spans="1:4" s="85" customFormat="1" ht="15">
      <c r="A93" s="133"/>
      <c r="B93" s="83" t="s">
        <v>396</v>
      </c>
      <c r="C93" s="84" t="s">
        <v>397</v>
      </c>
      <c r="D93" s="84" t="s">
        <v>398</v>
      </c>
    </row>
    <row r="94" spans="1:4" s="85" customFormat="1" ht="15">
      <c r="A94" s="133"/>
      <c r="B94" s="83" t="s">
        <v>399</v>
      </c>
      <c r="C94" s="84" t="s">
        <v>400</v>
      </c>
      <c r="D94" s="84" t="s">
        <v>401</v>
      </c>
    </row>
    <row r="95" spans="1:4" s="85" customFormat="1" ht="15">
      <c r="A95" s="133"/>
      <c r="B95" s="83" t="s">
        <v>402</v>
      </c>
      <c r="C95" s="84" t="s">
        <v>403</v>
      </c>
      <c r="D95" s="84" t="s">
        <v>404</v>
      </c>
    </row>
    <row r="96" spans="1:4" s="85" customFormat="1" ht="15">
      <c r="A96" s="133"/>
      <c r="B96" s="83" t="s">
        <v>405</v>
      </c>
      <c r="C96" s="84" t="s">
        <v>406</v>
      </c>
      <c r="D96" s="84" t="s">
        <v>407</v>
      </c>
    </row>
    <row r="97" spans="1:4" s="85" customFormat="1" ht="15">
      <c r="A97" s="133"/>
      <c r="B97" s="83" t="s">
        <v>408</v>
      </c>
      <c r="C97" s="84" t="s">
        <v>409</v>
      </c>
      <c r="D97" s="84" t="s">
        <v>410</v>
      </c>
    </row>
    <row r="98" spans="1:4" s="85" customFormat="1" ht="15">
      <c r="A98" s="133"/>
      <c r="B98" s="83" t="s">
        <v>411</v>
      </c>
      <c r="C98" s="84" t="s">
        <v>412</v>
      </c>
      <c r="D98" s="84" t="s">
        <v>413</v>
      </c>
    </row>
    <row r="99" spans="1:4" s="85" customFormat="1" ht="15">
      <c r="A99" s="133"/>
      <c r="B99" s="83" t="s">
        <v>414</v>
      </c>
      <c r="C99" s="84" t="s">
        <v>415</v>
      </c>
      <c r="D99" s="84" t="s">
        <v>416</v>
      </c>
    </row>
  </sheetData>
  <mergeCells count="6">
    <mergeCell ref="A92:A99"/>
    <mergeCell ref="A2:A23"/>
    <mergeCell ref="E2:E7"/>
    <mergeCell ref="A24:A48"/>
    <mergeCell ref="A60:A72"/>
    <mergeCell ref="A73:A9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Chia cổ tức</vt:lpstr>
      <vt:lpstr>Quản lý ví</vt:lpstr>
      <vt:lpstr>Tài sản Quỹ</vt:lpstr>
      <vt:lpstr>&lt;&lt;&lt;&lt;&lt;Team-&gt;</vt:lpstr>
      <vt:lpstr>Kênh 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THIEN</cp:lastModifiedBy>
  <dcterms:created xsi:type="dcterms:W3CDTF">2021-10-26T03:49:58Z</dcterms:created>
  <dcterms:modified xsi:type="dcterms:W3CDTF">2022-06-03T14:15:02Z</dcterms:modified>
</cp:coreProperties>
</file>