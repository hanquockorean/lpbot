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ông việc\"/>
    </mc:Choice>
  </mc:AlternateContent>
  <xr:revisionPtr revIDLastSave="0" documentId="13_ncr:1_{0B1FFD9A-D6A2-46ED-A419-206781A063F2}" xr6:coauthVersionLast="47" xr6:coauthVersionMax="47" xr10:uidLastSave="{00000000-0000-0000-0000-000000000000}"/>
  <bookViews>
    <workbookView xWindow="-108" yWindow="-108" windowWidth="23256" windowHeight="12720" firstSheet="1" activeTab="2" xr2:uid="{00000000-000D-0000-FFFF-FFFF00000000}"/>
  </bookViews>
  <sheets>
    <sheet name="Vốn ban đầu" sheetId="34" r:id="rId1"/>
    <sheet name="Huy động vốn" sheetId="35" r:id="rId2"/>
    <sheet name="Chia cổ tức" sheetId="28" r:id="rId3"/>
    <sheet name="Quản lý ví Near" sheetId="30" r:id="rId4"/>
    <sheet name="Quản lý ví avax" sheetId="36" r:id="rId5"/>
    <sheet name="Tài sản Quỹ" sheetId="31" r:id="rId6"/>
    <sheet name="Kênh line" sheetId="33" r:id="rId7"/>
    <sheet name="kênh tele" sheetId="38" r:id="rId8"/>
    <sheet name="path" sheetId="37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8" i="28" l="1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Y5" i="28"/>
  <c r="Z5" i="28" s="1"/>
  <c r="Z17" i="28" s="1"/>
  <c r="W5" i="28"/>
  <c r="X5" i="28" s="1"/>
  <c r="AA5" i="28"/>
  <c r="AB5" i="28" s="1"/>
  <c r="AE5" i="28"/>
  <c r="AF5" i="28" s="1"/>
  <c r="AG5" i="28"/>
  <c r="AH5" i="28"/>
  <c r="AC5" i="28" l="1"/>
  <c r="AD5" i="28" s="1"/>
  <c r="Z6" i="28"/>
  <c r="Z10" i="28"/>
  <c r="Z18" i="28"/>
  <c r="Z11" i="28"/>
  <c r="Z12" i="28"/>
  <c r="Z13" i="28"/>
  <c r="Z16" i="28"/>
  <c r="Z14" i="28"/>
  <c r="Z7" i="28"/>
  <c r="Z15" i="28"/>
  <c r="Z8" i="28"/>
  <c r="Z9" i="28"/>
  <c r="X9" i="28"/>
  <c r="X13" i="28"/>
  <c r="X8" i="28"/>
  <c r="X7" i="28"/>
  <c r="X11" i="28"/>
  <c r="X15" i="28"/>
  <c r="X6" i="28"/>
  <c r="X10" i="28"/>
  <c r="X18" i="28"/>
  <c r="X17" i="28"/>
  <c r="X16" i="28"/>
  <c r="X14" i="28"/>
  <c r="X12" i="28"/>
  <c r="V5" i="28"/>
  <c r="V18" i="28" s="1"/>
  <c r="U5" i="28"/>
  <c r="T18" i="28"/>
  <c r="T17" i="28"/>
  <c r="T16" i="28"/>
  <c r="T15" i="28"/>
  <c r="T14" i="28"/>
  <c r="T13" i="28"/>
  <c r="T12" i="28"/>
  <c r="T11" i="28"/>
  <c r="T10" i="28"/>
  <c r="T9" i="28"/>
  <c r="T8" i="28"/>
  <c r="T7" i="28"/>
  <c r="T6" i="28"/>
  <c r="T5" i="28"/>
  <c r="S5" i="28"/>
  <c r="R5" i="28"/>
  <c r="R11" i="28" s="1"/>
  <c r="Q5" i="28"/>
  <c r="R13" i="28"/>
  <c r="R12" i="28"/>
  <c r="R10" i="28"/>
  <c r="R9" i="28"/>
  <c r="R8" i="28"/>
  <c r="R7" i="28"/>
  <c r="R6" i="28"/>
  <c r="AD18" i="28" l="1"/>
  <c r="AD10" i="28"/>
  <c r="AD17" i="28"/>
  <c r="AD9" i="28"/>
  <c r="AD16" i="28"/>
  <c r="AD8" i="28"/>
  <c r="AD15" i="28"/>
  <c r="AD7" i="28"/>
  <c r="AD14" i="28"/>
  <c r="AD6" i="28"/>
  <c r="AD13" i="28"/>
  <c r="AD12" i="28"/>
  <c r="AD11" i="28"/>
  <c r="V10" i="28"/>
  <c r="V11" i="28"/>
  <c r="V9" i="28"/>
  <c r="V12" i="28"/>
  <c r="V13" i="28"/>
  <c r="V6" i="28"/>
  <c r="V14" i="28"/>
  <c r="V7" i="28"/>
  <c r="V15" i="28"/>
  <c r="V8" i="28"/>
  <c r="V16" i="28"/>
  <c r="V17" i="28"/>
  <c r="R14" i="28"/>
  <c r="R15" i="28"/>
  <c r="R16" i="28"/>
  <c r="R17" i="28"/>
  <c r="R18" i="28"/>
  <c r="P18" i="28" l="1"/>
  <c r="P17" i="28"/>
  <c r="P16" i="28"/>
  <c r="P15" i="28"/>
  <c r="P14" i="28"/>
  <c r="P13" i="28"/>
  <c r="P12" i="28"/>
  <c r="P11" i="28"/>
  <c r="P10" i="28"/>
  <c r="P9" i="28"/>
  <c r="P8" i="28"/>
  <c r="P7" i="28"/>
  <c r="P6" i="28"/>
  <c r="O5" i="28"/>
  <c r="P5" i="28" s="1"/>
  <c r="M5" i="28" l="1"/>
  <c r="N5" i="28" s="1"/>
  <c r="N18" i="28" s="1"/>
  <c r="L16" i="28"/>
  <c r="L15" i="28"/>
  <c r="L14" i="28"/>
  <c r="L9" i="28"/>
  <c r="L8" i="28"/>
  <c r="L7" i="28"/>
  <c r="L6" i="28"/>
  <c r="K5" i="28"/>
  <c r="L5" i="28" s="1"/>
  <c r="L13" i="28" s="1"/>
  <c r="J5" i="28"/>
  <c r="I5" i="28"/>
  <c r="G5" i="28"/>
  <c r="H18" i="28"/>
  <c r="E21" i="30"/>
  <c r="G21" i="30" s="1"/>
  <c r="E20" i="30"/>
  <c r="C18" i="28" l="1"/>
  <c r="C14" i="35"/>
  <c r="D14" i="35" s="1"/>
  <c r="N15" i="28"/>
  <c r="N11" i="28"/>
  <c r="N12" i="28"/>
  <c r="N13" i="28"/>
  <c r="N6" i="28"/>
  <c r="N14" i="28"/>
  <c r="N7" i="28"/>
  <c r="N8" i="28"/>
  <c r="N16" i="28"/>
  <c r="N17" i="28"/>
  <c r="N9" i="28"/>
  <c r="N10" i="28"/>
  <c r="L18" i="28"/>
  <c r="L11" i="28"/>
  <c r="L17" i="28"/>
  <c r="L10" i="28"/>
  <c r="L12" i="28"/>
  <c r="J14" i="28"/>
  <c r="J17" i="28"/>
  <c r="J11" i="28"/>
  <c r="J12" i="28"/>
  <c r="J6" i="28"/>
  <c r="J7" i="28"/>
  <c r="J15" i="28"/>
  <c r="J8" i="28"/>
  <c r="J16" i="28"/>
  <c r="J9" i="28"/>
  <c r="J10" i="28"/>
  <c r="J18" i="28"/>
  <c r="J13" i="28"/>
  <c r="H8" i="28"/>
  <c r="H9" i="28"/>
  <c r="H10" i="28"/>
  <c r="H11" i="28"/>
  <c r="H12" i="28"/>
  <c r="H13" i="28"/>
  <c r="H14" i="28"/>
  <c r="H15" i="28"/>
  <c r="H16" i="28"/>
  <c r="H17" i="28"/>
  <c r="H6" i="28"/>
  <c r="H7" i="28"/>
  <c r="J26" i="28" l="1"/>
  <c r="H26" i="28"/>
  <c r="E8" i="31"/>
  <c r="E9" i="31"/>
  <c r="E10" i="31"/>
  <c r="G10" i="31" s="1"/>
  <c r="G20" i="30"/>
  <c r="C13" i="35" s="1"/>
  <c r="D13" i="35" s="1"/>
  <c r="K20" i="30" l="1"/>
  <c r="C17" i="28"/>
  <c r="E4" i="31"/>
  <c r="E5" i="31"/>
  <c r="E6" i="31"/>
  <c r="E7" i="31"/>
  <c r="E3" i="31"/>
  <c r="G3" i="31" s="1"/>
  <c r="L2" i="31"/>
  <c r="E19" i="30"/>
  <c r="G19" i="30" s="1"/>
  <c r="C12" i="35" s="1"/>
  <c r="D12" i="35" s="1"/>
  <c r="E18" i="30"/>
  <c r="G18" i="30" s="1"/>
  <c r="E17" i="30"/>
  <c r="G17" i="30" s="1"/>
  <c r="C10" i="35" s="1"/>
  <c r="D10" i="35" s="1"/>
  <c r="E16" i="30"/>
  <c r="G16" i="30" s="1"/>
  <c r="C7" i="35" s="1"/>
  <c r="D7" i="35" s="1"/>
  <c r="E15" i="30"/>
  <c r="G15" i="30" s="1"/>
  <c r="E14" i="30"/>
  <c r="G14" i="30" s="1"/>
  <c r="E13" i="30"/>
  <c r="G13" i="30" s="1"/>
  <c r="C8" i="35" s="1"/>
  <c r="D8" i="35" s="1"/>
  <c r="E12" i="30"/>
  <c r="G12" i="30" s="1"/>
  <c r="K12" i="30" s="1"/>
  <c r="E11" i="30"/>
  <c r="G11" i="30" s="1"/>
  <c r="E10" i="30"/>
  <c r="G10" i="30" s="1"/>
  <c r="E9" i="30"/>
  <c r="G9" i="30" s="1"/>
  <c r="K9" i="30" s="1"/>
  <c r="E8" i="30"/>
  <c r="G8" i="30" s="1"/>
  <c r="K8" i="30" s="1"/>
  <c r="E7" i="30"/>
  <c r="G7" i="30" s="1"/>
  <c r="K7" i="30" s="1"/>
  <c r="E6" i="30"/>
  <c r="G6" i="30" s="1"/>
  <c r="K6" i="30" s="1"/>
  <c r="E5" i="30"/>
  <c r="G5" i="30" s="1"/>
  <c r="C3" i="35" s="1"/>
  <c r="D3" i="35" s="1"/>
  <c r="E4" i="30"/>
  <c r="G3" i="30"/>
  <c r="L2" i="30"/>
  <c r="K15" i="30" l="1"/>
  <c r="C6" i="35"/>
  <c r="D6" i="35" s="1"/>
  <c r="K11" i="30"/>
  <c r="C5" i="35"/>
  <c r="D5" i="35" s="1"/>
  <c r="K18" i="30"/>
  <c r="C11" i="35"/>
  <c r="D11" i="35" s="1"/>
  <c r="K10" i="30"/>
  <c r="C4" i="35"/>
  <c r="D4" i="35" s="1"/>
  <c r="F4" i="35" s="1"/>
  <c r="K14" i="30"/>
  <c r="C9" i="35"/>
  <c r="D9" i="35" s="1"/>
  <c r="H2" i="30"/>
  <c r="H21" i="30" s="1"/>
  <c r="L20" i="30"/>
  <c r="L21" i="30" s="1"/>
  <c r="C7" i="28"/>
  <c r="K5" i="30"/>
  <c r="C12" i="28"/>
  <c r="K13" i="30"/>
  <c r="C16" i="28"/>
  <c r="K19" i="30"/>
  <c r="C14" i="28"/>
  <c r="K17" i="30"/>
  <c r="C11" i="28"/>
  <c r="K16" i="30"/>
  <c r="C9" i="28"/>
  <c r="C15" i="28"/>
  <c r="C8" i="28"/>
  <c r="C10" i="28"/>
  <c r="C13" i="28"/>
  <c r="H2" i="31"/>
  <c r="H10" i="31" s="1"/>
  <c r="G4" i="30"/>
  <c r="E7" i="28"/>
  <c r="E16" i="28"/>
  <c r="E15" i="28"/>
  <c r="E14" i="28"/>
  <c r="E13" i="28"/>
  <c r="E12" i="28"/>
  <c r="E11" i="28"/>
  <c r="E10" i="28"/>
  <c r="E9" i="28"/>
  <c r="E8" i="28"/>
  <c r="C17" i="35" l="1"/>
  <c r="D17" i="35" s="1"/>
  <c r="E5" i="28"/>
  <c r="M2" i="31"/>
  <c r="H12" i="30"/>
  <c r="H20" i="30"/>
  <c r="C6" i="28"/>
  <c r="K4" i="30"/>
  <c r="H7" i="31"/>
  <c r="H9" i="31"/>
  <c r="H11" i="30"/>
  <c r="H10" i="30"/>
  <c r="H19" i="30"/>
  <c r="H16" i="30"/>
  <c r="H8" i="30"/>
  <c r="H5" i="30"/>
  <c r="H7" i="30"/>
  <c r="H18" i="30"/>
  <c r="H15" i="30"/>
  <c r="H9" i="30"/>
  <c r="H14" i="30"/>
  <c r="H17" i="30"/>
  <c r="H6" i="30"/>
  <c r="H13" i="30"/>
  <c r="H8" i="31"/>
  <c r="H6" i="31"/>
  <c r="H5" i="31"/>
  <c r="H4" i="31"/>
  <c r="H3" i="31"/>
  <c r="H3" i="30"/>
  <c r="H4" i="30"/>
  <c r="D5" i="28" l="1"/>
  <c r="D12" i="28" s="1"/>
  <c r="D8" i="28" l="1"/>
  <c r="D15" i="28"/>
  <c r="D6" i="28"/>
  <c r="D11" i="28"/>
  <c r="D7" i="28"/>
  <c r="D10" i="28"/>
  <c r="D18" i="28"/>
  <c r="D17" i="28"/>
  <c r="D13" i="28"/>
  <c r="D9" i="28"/>
  <c r="D14" i="28"/>
  <c r="D16" i="28"/>
  <c r="F5" i="28" l="1"/>
  <c r="F6" i="28" l="1"/>
  <c r="F16" i="28"/>
  <c r="F12" i="28"/>
  <c r="F14" i="28"/>
  <c r="F9" i="28"/>
  <c r="F15" i="28"/>
  <c r="F13" i="28"/>
  <c r="F7" i="28"/>
  <c r="F8" i="28"/>
  <c r="F11" i="28"/>
  <c r="F10" i="28"/>
</calcChain>
</file>

<file path=xl/sharedStrings.xml><?xml version="1.0" encoding="utf-8"?>
<sst xmlns="http://schemas.openxmlformats.org/spreadsheetml/2006/main" count="605" uniqueCount="444">
  <si>
    <t>near</t>
  </si>
  <si>
    <t>Thiện</t>
  </si>
  <si>
    <t>Tuấn</t>
  </si>
  <si>
    <t>Long</t>
  </si>
  <si>
    <t>Hiệu</t>
  </si>
  <si>
    <t>Ví team</t>
  </si>
  <si>
    <t>Văn</t>
  </si>
  <si>
    <t>Tú</t>
  </si>
  <si>
    <t>Đạt</t>
  </si>
  <si>
    <t>Nhà Đầu Tư</t>
  </si>
  <si>
    <t>BẢNG CHIA LÃI HÀNG TUẦN CHO CÁC NHÀ ĐẦU TƯ</t>
  </si>
  <si>
    <t>TỔNG HỢP VÍ  NHÀ ĐẦU TƯ</t>
  </si>
  <si>
    <t>Nhà đầu tư</t>
  </si>
  <si>
    <t>chain</t>
  </si>
  <si>
    <t>địa chỉ ví near</t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</si>
  <si>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</si>
  <si>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</si>
  <si>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</si>
  <si>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</si>
  <si>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</si>
  <si>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</si>
  <si>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</si>
  <si>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</si>
  <si>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hanquockorean.near</t>
  </si>
  <si>
    <t>dxthienx1.near</t>
  </si>
  <si>
    <t>A Ngọc</t>
  </si>
  <si>
    <t>ngoctruong.near</t>
  </si>
  <si>
    <t>trader33tuoi.near</t>
  </si>
  <si>
    <t>hieulucy.near</t>
  </si>
  <si>
    <t>n2vc4b.near</t>
  </si>
  <si>
    <t>tunguyen148.near</t>
  </si>
  <si>
    <t>tkd93.near</t>
  </si>
  <si>
    <t>A Hào</t>
  </si>
  <si>
    <t>crazy0123.near</t>
  </si>
  <si>
    <t>A Ngôn</t>
  </si>
  <si>
    <t>ngonnt.near</t>
  </si>
  <si>
    <t>cpnear.near</t>
  </si>
  <si>
    <t xml:space="preserve">Ví Quỹ </t>
  </si>
  <si>
    <t>teambottrade.near</t>
    <phoneticPr fontId="6"/>
  </si>
  <si>
    <t>lpbot.near</t>
  </si>
  <si>
    <t>wrap.near</t>
  </si>
  <si>
    <t>Hodl
LPB</t>
    <phoneticPr fontId="6"/>
  </si>
  <si>
    <t>Pool
shares</t>
    <phoneticPr fontId="6"/>
  </si>
  <si>
    <t>to
LPB</t>
    <phoneticPr fontId="6"/>
  </si>
  <si>
    <t>Total</t>
    <phoneticPr fontId="6"/>
  </si>
  <si>
    <t>Days:</t>
    <phoneticPr fontId="6"/>
  </si>
  <si>
    <t>Rate(near)</t>
    <phoneticPr fontId="6"/>
  </si>
  <si>
    <t>Totalshares</t>
    <phoneticPr fontId="6"/>
  </si>
  <si>
    <t>Pool 3426</t>
    <phoneticPr fontId="6"/>
  </si>
  <si>
    <t>LPB locked</t>
    <phoneticPr fontId="6"/>
  </si>
  <si>
    <t>lpbot.near</t>
    <phoneticPr fontId="6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</si>
  <si>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Calibri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Calibri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Calibri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6"/>
  </si>
  <si>
    <t>Near shares</t>
    <phoneticPr fontId="6"/>
  </si>
  <si>
    <t>Hodl
Near</t>
    <phoneticPr fontId="6"/>
  </si>
  <si>
    <t>Ví con</t>
    <phoneticPr fontId="6"/>
  </si>
  <si>
    <t>Pool 3426
shares</t>
    <phoneticPr fontId="6"/>
  </si>
  <si>
    <t>near</t>
    <phoneticPr fontId="6"/>
  </si>
  <si>
    <t>koreanb.near</t>
    <phoneticPr fontId="6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</si>
  <si>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Calibri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6"/>
  </si>
  <si>
    <t>Total (NEAR)</t>
    <phoneticPr fontId="6"/>
  </si>
  <si>
    <t>Team</t>
    <phoneticPr fontId="5" type="noConversion"/>
  </si>
  <si>
    <t>Lookup
LPB</t>
    <phoneticPr fontId="5" type="noConversion"/>
  </si>
  <si>
    <r>
      <t>LPB s</t>
    </r>
    <r>
      <rPr>
        <b/>
        <sz val="11"/>
        <color theme="1"/>
        <rFont val="Calibri"/>
        <family val="2"/>
      </rPr>
      <t>ở</t>
    </r>
    <r>
      <rPr>
        <b/>
        <sz val="11"/>
        <color theme="1"/>
        <rFont val="Calibri"/>
        <family val="3"/>
        <charset val="128"/>
        <scheme val="minor"/>
      </rPr>
      <t xml:space="preserve"> h</t>
    </r>
    <r>
      <rPr>
        <b/>
        <sz val="11"/>
        <color theme="1"/>
        <rFont val="Calibri"/>
        <family val="2"/>
      </rPr>
      <t>ữ</t>
    </r>
    <r>
      <rPr>
        <b/>
        <sz val="11"/>
        <color theme="1"/>
        <rFont val="Calibri"/>
        <family val="3"/>
        <charset val="128"/>
        <scheme val="minor"/>
      </rPr>
      <t>u</t>
    </r>
    <phoneticPr fontId="5" type="noConversion"/>
  </si>
  <si>
    <r>
      <t>Tu</t>
    </r>
    <r>
      <rPr>
        <b/>
        <sz val="11"/>
        <color theme="1"/>
        <rFont val="Calibri"/>
        <family val="2"/>
        <charset val="163"/>
      </rPr>
      <t>ầ</t>
    </r>
    <r>
      <rPr>
        <b/>
        <sz val="11"/>
        <color theme="1"/>
        <rFont val="Calibri"/>
        <family val="2"/>
        <scheme val="minor"/>
      </rPr>
      <t>n:</t>
    </r>
    <phoneticPr fontId="5" type="noConversion"/>
  </si>
  <si>
    <r>
      <t>lãi 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Calibri"/>
        <family val="3"/>
        <charset val="128"/>
        <scheme val="minor"/>
      </rPr>
      <t>n</t>
    </r>
    <phoneticPr fontId="5" type="noConversion"/>
  </si>
  <si>
    <t>%</t>
    <phoneticPr fontId="5" type="noConversion"/>
  </si>
  <si>
    <t>near</t>
    <phoneticPr fontId="6"/>
  </si>
  <si>
    <t>marionhan.near</t>
    <phoneticPr fontId="6"/>
  </si>
  <si>
    <t>teambottrade.near</t>
  </si>
  <si>
    <t>Nhân</t>
  </si>
  <si>
    <t>marionhan.near</t>
  </si>
  <si>
    <t>A Thắng</t>
  </si>
  <si>
    <t>thanghx.near</t>
  </si>
  <si>
    <t>Tên bot</t>
  </si>
  <si>
    <t>tên kênh</t>
  </si>
  <si>
    <t>@</t>
  </si>
  <si>
    <t>/noti add channellog $$</t>
  </si>
  <si>
    <t>Bina celo</t>
  </si>
  <si>
    <t>Bina celo1</t>
  </si>
  <si>
    <t>@827xkjzq</t>
  </si>
  <si>
    <t>v7ULFVQoH0OYLx6o7X+/yRAa0+yvwW6k11dQBNIRTiKxVizuwrV79zNwYGKQA1iy+oI2TFnumaLcO+g3j9/82l/Sdwj/MRpNjBfRk96GxP3NomMiCtNkYgO8J9pxocSExj6PrR2X8RVQaVoVEb4L+AdB04t89/1O/w1cDnyilFU=</t>
  </si>
  <si>
    <t>dxthienx10</t>
  </si>
  <si>
    <t>Bina celo2</t>
  </si>
  <si>
    <t>@861safei</t>
  </si>
  <si>
    <t>+9ba2PZvgzBsv8dJdVQbRquRQxYHLos/a/xKRUzQ9Q4dfc4ZoswiN6gNEhHxiHJDQqj0ptqS+oLVD7WkPbY4agbbYzUsNH3lUPC+ytKrY+zaDLohJ2Ajoqvsg+p62tb2Shc0GPaqcyFpjbfiT3V67AdB04t89/1O/w1cDnyilFU=</t>
  </si>
  <si>
    <t>Bina celo3</t>
  </si>
  <si>
    <t>@823yoczd</t>
  </si>
  <si>
    <t>eVaRfxcVtmDIjhzShHknmGI/ThTJx87Cj5a0bxfENRNlHoPp2CMsBLVu3j5s6jD2Txuj00naWBP5i/bDdpKaZehc23uV0paUm1Q9Z4M62rptRho+0d/he4F/OswOEeph5B8AShwNWy3Yfto9IkiR0gdB04t89/1O/w1cDnyilFU=</t>
  </si>
  <si>
    <t>Bina celo4</t>
  </si>
  <si>
    <t>@494eroqa</t>
  </si>
  <si>
    <t>uXtCV4SGIHA2OahqITouuXXtwF/W4WZ92ByJqcQZqFyHw2XgOZVtrCXs/oxHikjjo09iW8xvN0m9QXsotIC4BZtmeBo0Qt0d3YArzodCc4qaXVY/GklQSSJz+KLFstw23SNomuzB/hrdgMPCZ6sUPQdB04t89/1O/w1cDnyilFU=</t>
  </si>
  <si>
    <t>Bina celo5</t>
  </si>
  <si>
    <t>@909grglw</t>
  </si>
  <si>
    <t>kw9CuP0Nck4YK+zo0z53kHnY9AlEhsdbJgw3VYimdqRWH64Z6neTexc5Ni8uBEbhoC09nuckkrp3gZbQxjDKkA5PlogPf4+eeOzZP0+/FBIoUcUmNGTXLo1ER9Fioq47BmzyTW6tVkK+GKCQmrTqwwdB04t89/1O/w1cDnyilFU=</t>
  </si>
  <si>
    <t>Bina celo6</t>
  </si>
  <si>
    <t>@932oqqco</t>
  </si>
  <si>
    <t>citoykq2+j8el7vNXg/OvC7Gj3WjxwPWsBx8srm+mrJVJKt+t3CoU2EebNfLopH2TUQTdrjScyEnEsONsWumt5RxPDRE8++s0fQC1wbmnEA9TmiMIKcYQKZCCebMTH+MDFShpP8HbfE3uLqCiDuZrgdB04t89/1O/w1cDnyilFU=</t>
  </si>
  <si>
    <t>Bina celo7</t>
  </si>
  <si>
    <t>@735roxsq</t>
  </si>
  <si>
    <t>8aPYZNzgqzRyAUhjP/wc7c5ZDzTNM4aAncW1bDSkRKeEjc6iTO1qqnpJW1IQEJXvvLVTNT4pgrAVyE+lKYPHVFmF7ylAAsAfTtRTuaIYd1TTaoEG5aI6wwTWMkYICXnW1y6L+Ihjoxc498Uk7ntWCQdB04t89/1O/w1cDnyilFU=</t>
  </si>
  <si>
    <t>Bina celo8</t>
  </si>
  <si>
    <t>@207sxgij</t>
  </si>
  <si>
    <t>eKxUhMPHp66GI861konGUta+7+aoKZAvIj+2FP5L1bFD0ne8ZuFwMlarxVbcZccik1IC4/jiufvTYi2qyeOTHWDtATLY66GcfKh90oiy+9VHXJKDlMetEMnSwyP903hg9qUxiQcFJAZAagX6DvXHsAdB04t89/1O/w1cDnyilFU=</t>
  </si>
  <si>
    <t>Bina celo9</t>
  </si>
  <si>
    <t>@037stdry</t>
  </si>
  <si>
    <t>4f/SNiNo6DIZb1Ou9NDie0/J5BFQ+lIC0kiiuTiFe3Vd3pmBIiuQrXvgtv4nHtAWdGq2PeTTCFrXlESjzEnhTYt29ZPzu3Xf6GRraOZaF8jUhxhzdUd4TG845zMH3hh1Ai69+oJZmMdvYxA7WY9DiQdB04t89/1O/w1cDnyilFU=</t>
  </si>
  <si>
    <t>Bina celo10</t>
  </si>
  <si>
    <t>@527kzbrg</t>
  </si>
  <si>
    <t>HMQCUc7PkBKg9HNJTy7hBabQABW+Z3F5LPLqYrVPWhsWKvbP1DBD3fOe/zu7QbNqyRaIBq6mCfKDXMB+9Kz1G+8id+Vz/+ZU+q6Gx5Q6nNafL1VD7vej5UWUICSAKgi/cILzpnnuKW6XaUK+CjpYbgdB04t89/1O/w1cDnyilFU=</t>
  </si>
  <si>
    <t>Bina celo11</t>
  </si>
  <si>
    <t>@114lrjtx</t>
  </si>
  <si>
    <t>v/GeAWhrYr7XkUW/icub+VbWBS0YWpbprqQPRPbjMz9GfLr+Gz+22u/w9zznrDmplFeY+wi9RRuN/1fbGiaCGCDRpFWsN8oI27xBNM1aGuNBy31XuSokhMMV2KiLE00Z/2ZfINnoanhbcOjAwZdBkAdB04t89/1O/w1cDnyilFU=</t>
  </si>
  <si>
    <t>Bina celo12</t>
  </si>
  <si>
    <t>@376pvbbl</t>
  </si>
  <si>
    <t>gCe6t5hDzJwa+byVlkRJcLJprr4bFQXbBWh50b81M+l+Wmos9kNmIBo2aWPtrbLL+/3MfSuJyw3VCR8WKt6a30VzVAEVF74c9bwvTTUDSoMke8wwXF2bUcci7GqDNpErbOocn9NV51ItiNw9Q/ovzAdB04t89/1O/w1cDnyilFU=</t>
  </si>
  <si>
    <t>Bina celo13</t>
  </si>
  <si>
    <t>@563swzfz</t>
  </si>
  <si>
    <t>r73neZjP0Rok6zXQa/8DZPtpDN/J1XyvP5MECFe6PCGsp9hD+zYxh6kZgAtlE11NFfXl/OktbG1GPPr+fJPYB2l4T7kQgIOjvgnpo1u6vQCVVZtE368vKQIpSnUkenhSNDpJW2fzc91KR/FoDbWCYgdB04t89/1O/w1cDnyilFU=</t>
  </si>
  <si>
    <t>Bina celo14</t>
  </si>
  <si>
    <t>@842nyhwg</t>
  </si>
  <si>
    <t>4ceZnSBturPfSNXzgtLOvppN6p1ns0y1RgN/hrvGkGheqMox72rSQxhy7LmSj4IYOiSxiWCdFPmXqF+4ZtRmgYlTgEW624b1wObffRuo+uW2CO6CE8UZCgfvkNfA4jbL1poU8z8LZOWWeDpH85jfkQdB04t89/1O/w1cDnyilFU=</t>
  </si>
  <si>
    <t>Bina celo15</t>
  </si>
  <si>
    <t>@925nkrzi</t>
  </si>
  <si>
    <t>VJ0i7QHf+33COdyxC/YymMaTGESwGMNl9s8rdLl441UlAYjePLnx0oRffNayuNvmi8ZOb08dHXDQD8oSCXdGn0plFjYGHEnkMMrMQJtWV4byMOVLubRkwWJNIRAlhXAccFfMq0QBYiL4IoCX8Q271AdB04t89/1O/w1cDnyilFU=</t>
  </si>
  <si>
    <t>Bina celo16</t>
  </si>
  <si>
    <t>@079dwuuq</t>
  </si>
  <si>
    <t>FJlz/0AlbOiqIOMy8eDqNABY1zgwOiRRMr1qa+aHY7pL1XaL+GJh6kI+BuscTZtdfp86LWwXKxghSQHYw0WkT4ttL7DC4gZMzh+SEgfWFhfbGUOXrFjxHWfloSVBkrf3VU/+9hf0KUXdikGpFq0xaAdB04t89/1O/w1cDnyilFU=</t>
  </si>
  <si>
    <t>Bina celo17</t>
  </si>
  <si>
    <t>@388imlnp</t>
  </si>
  <si>
    <t>Cst7bNAa0vIUNLLc9b6smpguZfhcdpPdKZNdCfYhOH19n0iMU+78twesxNbbTnqd2EhMBykd8qQykD6yD42CaFv/ZKyQNiLnpO5KbblmhvwcV/kDwX33OsNzKbSMm2I485tgXjeb5j3qD6HkvB0mHgdB04t89/1O/w1cDnyilFU=</t>
  </si>
  <si>
    <t>Bina celo18</t>
  </si>
  <si>
    <t>@414nkkaw</t>
  </si>
  <si>
    <t>e0QVzQSuehYn27YCRGiw4PPdrZ6oR7yD6Pza53j5QXYx0DX7munnbtvs4PSZvimZAL4l0gswX7q85U1KRVGWovDEkZk6ueRcUV3MsXWMt2rF4ZYRuSyx/CJhJ9bV7A0Z49ps/gUYpj5VtOPrrmrEGwdB04t89/1O/w1cDnyilFU=</t>
  </si>
  <si>
    <t>Bina celo19</t>
  </si>
  <si>
    <t>@268jssio</t>
  </si>
  <si>
    <t>1JqlAV3H34Rgg4SwwwTeWQHQfPtqolrNw+U/a5b9SwhTvYinnyS+YQc2IUWVB6jDYF9XLfIu7z5TzxEhg+9ItLAFOsUumXTe7V79hAzlVmKGOBgSCQplrukDpIHgr70x1ApGGy7E2zIV820px+uKcgdB04t89/1O/w1cDnyilFU=</t>
  </si>
  <si>
    <t>Bina celo20</t>
  </si>
  <si>
    <t>@329rdtei</t>
  </si>
  <si>
    <t>W3TWylg+14PMbpXFkBgVwGU1jarPFQ7TaqcflJ0Mm8rxXBSRuaDog9rYOzZRiNAVdq5tTPVZgRHZDKaM6zAd1jE/BIEGq+9qBXWWntJACsByqmoAj3wDoeGgHCg0x+FSMb/Wb8FJn88hCuXLh9UfKQdB04t89/1O/w1cDnyilFU=</t>
  </si>
  <si>
    <t>Bina celo21</t>
  </si>
  <si>
    <t>@282mjdhy</t>
  </si>
  <si>
    <t>MkKic9FdVrhGR1UKG1h1xrpr1PxVcpeFJPUKD6cEEi428hNStbxhbcYWJ7SZ6gM7VJvge1a/cbTDumSkspLVPWUN1Mk0tLtskHtMRz6HixBONeTjRER3nA/tsF5KCetxfcxhKwvBm/CajJOTm4At6AdB04t89/1O/w1cDnyilFU=</t>
  </si>
  <si>
    <t>Bina celo22</t>
  </si>
  <si>
    <t>@919xdbfv</t>
  </si>
  <si>
    <t>5Tuzma/xDyBqAVqgaCR3pzJNb/dArHB2jbl07L2abIe5es12hZHb7AggoZ8Bcx5h1KZWZfRsZxFrdqwzEsQcKIH/dv2rO0GOR3Qv4p+R9wTHtCkyihBiJaM7sH3fjSEv7mPSnpmSoBTp9ev79xzswQdB04t89/1O/w1cDnyilFU=</t>
  </si>
  <si>
    <t>gate - oct ref</t>
  </si>
  <si>
    <t>gate1</t>
  </si>
  <si>
    <t>@214wxhlc</t>
  </si>
  <si>
    <t>sjRnkFDbTa//n9Vdex6JCd1Wg23BljG49e2BRPSc4JkL3biQGc8nWirp7H+VCzDEtrk++GLp2LO2uA7abJNhTnJIeCeptdt9/sihGFkqWYx5jfVFx399I1mJ4fiD87b28Bf/8BPmnyD5lU6Gps6tmQdB04t89/1O/w1cDnyilFU=</t>
  </si>
  <si>
    <t>gate2</t>
  </si>
  <si>
    <t>@120aydfa</t>
  </si>
  <si>
    <t>3CY3rnQ2fd2B6c666uDqf3cl/mz7uZXCGgqNhIP7dIdGVKuo8pXuOdAqwWosf18FgTNaTxmc5NAVp0xRy74Fx02wXkJQTydqwMtNpyRHKjC0Wfe5SvmrueCznew2pd16fCc4siAgDYmzTTb7FLBjcwdB04t89/1O/w1cDnyilFU=</t>
  </si>
  <si>
    <t>gate3</t>
  </si>
  <si>
    <t>@584iplgc</t>
  </si>
  <si>
    <t>nfsKwKEhBZs59PcUGXurjA7sed8vKwHR8MOFJoN9nnYiSRkvfJUw1f6DVEcgPfqmgkb81hYRu3sgLjJFBCs6h3aVbYrMjpw+0qpZDMPFBv30JidpYijimfm/Yg+d7y3d/Tq9s6zQKkPUoIKPohPb7gdB04t89/1O/w1cDnyilFU=</t>
  </si>
  <si>
    <t>gate4</t>
  </si>
  <si>
    <t>@664dqdkn</t>
  </si>
  <si>
    <t>xUWvZCvMfwHW6U2NmCNHggiD44rbxl/OiojVnwgsyFd5DOJHbb4uF4CL4nAnn+o2xAuvoWG55EuSqGrrF4edAcHtd6sHhj1u8tjbkOCPIv030LhXSz3SyNDxO4hD4pvf9Gy0O1v9aR7ay7A4FheU/gdB04t89/1O/w1cDnyilFU=</t>
  </si>
  <si>
    <t>gate5</t>
  </si>
  <si>
    <t>@287quvvb</t>
  </si>
  <si>
    <t>+MbBncLS7wbh5vvl+0fOzs9WJHJLf5perUY7HTNjoh33AtocjGZpncVl2DKxuK82X8ih/Kdm4f76ZceiDf0ba6jlJvHA3KIPw23TnnVfGPKdb8ievUCoS/ulwzEL9t+TCddxSsSmqjNtVxHzu5XSjAdB04t89/1O/w1cDnyilFU=</t>
  </si>
  <si>
    <t>gate6</t>
  </si>
  <si>
    <t>@689ocbgi</t>
  </si>
  <si>
    <t>KRPpvj/RRDIWg9nnwIkQkXqfkPsXtD4dMNAx7BHYrs90xQmOQSyjZ8IpmIR4DCyuUfgp5V80eZSf1pH1aYqzQUaPD8iAgPp2XPZwTkDKHnLK0QAa9JDSGa2ZDMR6OaDT1FEvWOl2uznWbOYrTxF7zAdB04t89/1O/w1cDnyilFU=</t>
  </si>
  <si>
    <t>gate7</t>
  </si>
  <si>
    <t>@647eruge</t>
  </si>
  <si>
    <t>pCXsyZfqaahwDts8lmwDLfxT51d7jFd1bAWSe72XM3YuCNQv4icFaR7gJhGh9d2xa3bvk6hICEGIAj4pDYC1e+xLxThH8JMmtwLyCjSq++HYd6DGKUx2hSgcZq4rlQhzO511MmPpU7ehPTH4sa89dAdB04t89/1O/w1cDnyilFU=</t>
  </si>
  <si>
    <t>gate8</t>
  </si>
  <si>
    <t>@703ojnce</t>
  </si>
  <si>
    <t>PQX3rqSvm7H3mzRPHSFTzJETvX6I0NveNUYHGdEdhkhduui/jX3wbOozcfFKrTlpk/mSEkkEzcwwxds95ovYLdAPpbQJ7zVggk/Qb3EJ19tZ/zqbW2Lx4lAwUtqfW+LYC+Z0Er4J2pK18UC6uoI+XQdB04t89/1O/w1cDnyilFU=</t>
  </si>
  <si>
    <t>gate9</t>
  </si>
  <si>
    <t>@001xpssb</t>
  </si>
  <si>
    <t>yn6hGRtiM8vsvRyMzShSEt5JAvCRlFeMDKGM2cZ0+swk6S4blUZYjeJlTzuzl8EqABGYvz7yd74gcxVOR2WgR66NeBUECJrFysSqo3syA5hwobcbxKPBs40JWS/Aqb5l2IcV1KcFxGyfwIs42jfoBQdB04t89/1O/w1cDnyilFU=</t>
  </si>
  <si>
    <t>gate10</t>
  </si>
  <si>
    <t>@981flvzz</t>
  </si>
  <si>
    <t>+kCg/0MPPk9w+9mLhmZ4SiE4WpHqdEMueb9q3XSfhTk92ODR4VBZIgYNe0w92ptth3D510WFvTnLkwEXm2z5T0tYl34eWBnRdyudcKyWKgHQuVweeu7MCucAVPbVnIu7OJig+FN9P6uNAgIQt2lVYQdB04t89/1O/w1cDnyilFU=</t>
  </si>
  <si>
    <t>gate11</t>
  </si>
  <si>
    <t>@183rtnjd</t>
  </si>
  <si>
    <t>ii6h/SREGOa/MRZN/dsA6tmnIylyf95Ve1xCm5WQUksUGwaGYunyJiXqFOGECjD0+ihI7E5jobtVyyiU8JdM+5F3qJHt0wCLnMsEcXJHEYYD9Ao6Y9/zmOUDKUcNzaXBc6Wdt10DJQ8+kTjMapcKmwdB04t89/1O/w1cDnyilFU=</t>
  </si>
  <si>
    <t>gate12</t>
  </si>
  <si>
    <t>@134nafjl</t>
  </si>
  <si>
    <t>KmlK0zuv1sHjAQ8792XhxgjgUd8ym6wfX/BCfm0HE8CWRUBK/g/OVPcDfFXvUJoWWd5jcFG659bGkcwlErdzgw2VxE5mqT4ocuNHLLi5DVCVFvQcCMjR6sHRFnn7c3RZvC+O/NPA+/yQCnYSVX9o4AdB04t89/1O/w1cDnyilFU=</t>
  </si>
  <si>
    <t>gate13</t>
  </si>
  <si>
    <t>@408iomfp</t>
  </si>
  <si>
    <t>w1mzvjKU8JIIhp1dLV1Wf+ZzBgzHonlH0Mb3rUXrlO7DQUFFn06Kgnhab7jsYHJB5GrIxmKJu8RxP2OoJCPuSzCdCdM0SPbQOT8MR4KKm7GOiwBhm1k0/cIaQwT68I2AxTpxvxMZUZmvgpOR0zugkgdB04t89/1O/w1cDnyilFU=</t>
  </si>
  <si>
    <t>gate14</t>
  </si>
  <si>
    <t>@658ayefc</t>
  </si>
  <si>
    <t>ttpXZU4QPAaMfVUiPFVS8xeJ8u+oaVHeu3LDwrZ/ttgRnwBXa7dRAluOLKcUlZFLg9LhH+cJ9fa/gMW7Iffr78534pVcBGJCCeDGtqQnrCuE2QkRFTFRFkMc0u6iaAaT7mjs8dtsXG/FkI3/3cw4tAdB04t89/1O/w1cDnyilFU=</t>
  </si>
  <si>
    <t>gate15</t>
  </si>
  <si>
    <t>@795otfug</t>
  </si>
  <si>
    <t>OiNwlDCcCK9D+80BR2okYKimnsk2/CmjC4FoFx4eyxY0rZxRc7K5P6NoeIbIHh7CXhdROxgJQ/j/Lnk6VZh2Qoa4BvNeZpDzQ3j7aCmP2rxlzJS11Dv4BoBy5/JdHDCF8goPg+4O/LKDDukejOTyHAdB04t89/1O/w1cDnyilFU=</t>
  </si>
  <si>
    <t>gate16</t>
  </si>
  <si>
    <t>@603pxvpu</t>
  </si>
  <si>
    <t>82fVf0tJTqOzxXlfp2yJ/oPhtiDwLlOnwRew3RYOIbaEP+3n31aoiIvNKyxJUTXZA8RAP9yaQY57V3uDd3LPPvHNLQlWacj4ugNiU9L19GxhBCTMoGZHwOP3N7bMptVTIlKWU0HeAMcF973PpgFLdwdB04t89/1O/w1cDnyilFU=</t>
  </si>
  <si>
    <t>gate17</t>
  </si>
  <si>
    <t>@406xnoag</t>
  </si>
  <si>
    <t>FvYOfsHdvh132LcGaZRIPd/OQI5k5qz8oIQu/Va5n46XpxE9KgXQL6ARCdgKJVaybXy1uTT5pUUz0ta12MMx9YiJCTT2evBf/0dS0uqfGeY+njLLklZHhQhgZiPeaBrGB2hJmNbYMPgQLvF9FFyBSgdB04t89/1O/w1cDnyilFU=</t>
  </si>
  <si>
    <t>gate18</t>
  </si>
  <si>
    <t>@970jmmnm</t>
  </si>
  <si>
    <t>RFU+OFnuMgzMe7L39FNIcnxsG1BtIs6103vlsHHXoP6L8ul/+TsbaapdqFI6+rIoIw+5HaQzCe7XMWw1nqll0D58AyX7oCW6ZsrEUutyW+1AV6JJLqnC0n2BB/83TsUO+w8KTDpq7pqK8TDkQQNpbwdB04t89/1O/w1cDnyilFU=</t>
  </si>
  <si>
    <t>gate19</t>
  </si>
  <si>
    <t>@129rqokm</t>
  </si>
  <si>
    <t>NHYsDQ7r9tOmnFYqg/oFoIkN+BcVYGoU17a9DZK6GISyz67bGX6PRoHMFhJwvNIlVUoMmUUCt+qpv16BeVd3/uamZ/BUVwqaR3ciuGMGeEubqULINl++VLmB/mVcoZEx2uIiaLJCSCLTSTxh8E+pkAdB04t89/1O/w1cDnyilFU=</t>
  </si>
  <si>
    <t>gate20</t>
  </si>
  <si>
    <t>@634uzqxz</t>
  </si>
  <si>
    <t>N0vmvsGrqJYcm1pl5zp0JbnZj82EKv+5+76k3h8umng59UzE+33GeIcadC8Qtj8L7lbG7r+LRUDEN1abJ1ysugT2UWMPWdgZZZJMFxodZkKF3pB0m7SuATt4VGH+sD/rxxmcw9nMIB7qrdBlMHIKFgdB04t89/1O/w1cDnyilFU=</t>
  </si>
  <si>
    <t>gate21</t>
  </si>
  <si>
    <t>@681gsqbd</t>
  </si>
  <si>
    <t>ZytRBLz2/7CxvJqclBqEJx/KlwXbeD9puv94bWw+XFLT76BcKU9UqeyDHAQcpvmrvsHaeR9efW4DDIGR42E7TXwwdglh85rf4kSPNvGia/6YdaAk4PoSZNnpPWFlw4htdL6w/iIuKUKKCQNH6pJLSQdB04t89/1O/w1cDnyilFU=</t>
  </si>
  <si>
    <t>gate22</t>
  </si>
  <si>
    <t>@272rgaqx</t>
  </si>
  <si>
    <t>vB6LO1Y1bbuc8Zpwwhm6OVviQmYUuy5Jnxq1KJEphOVlTDSHlVnCPInczdOgzfrj+GxzWR07miV01WuiuuIYoqwcpZadHRq+cIkGuwLSwzlIQcp1E5gbyzkfZzblrWXlaeC/qCHRHlZni0oVZQvjrwdB04t89/1O/w1cDnyilFU=</t>
  </si>
  <si>
    <t>gate23</t>
  </si>
  <si>
    <t>@917jcekw</t>
  </si>
  <si>
    <t>gH3AxiB2vk3udA7b2tWfErzL9FJfByxyw+biyEi7E4HAgFxX17V+j5TWdBWitpStwEnGcv2IByL3UhawzK2quzBztEpMATnlkgpL8Hn0g8O+3BObJBalV7/nc5StMHSJreGngk7VsdOm0TZBzyzwjQdB04t89/1O/w1cDnyilFU=</t>
  </si>
  <si>
    <t>gate24</t>
  </si>
  <si>
    <t>@412ftjal</t>
  </si>
  <si>
    <t>e2Lr+bCZT84FzeAb+WGgpZo8jurWkMPXkkIJ0CfS6myMKI49DH9iCJe3CmZDg3yLY+qCcgGm1VpHUVxnk993UpLb6CKLqpi7H1rEUYJFYbAwJEg5IHlozilmDz6KtW+lyGH9G7h34YdihX48gWnnvQdB04t89/1O/w1cDnyilFU=</t>
  </si>
  <si>
    <t>gate25</t>
  </si>
  <si>
    <t>gate celo 1</t>
  </si>
  <si>
    <t>@518hhhin</t>
  </si>
  <si>
    <t>6Ih34HUFUuVoPilJhzGYZ/6JwH7MpAAxLQQIEUher2uXC+mfxaJ0A7wf9VMOjUajL2voflL1ZORuYGMt355MH5429p6Zx6WYtkyDQzlVB/r2bxeoRdPUhj91+EzSS/GTe4MM4d9mIchiAWQg0XqlfAdB04t89/1O/w1cDnyilFU=</t>
  </si>
  <si>
    <t>gate celo 2</t>
  </si>
  <si>
    <t>@657ismld</t>
  </si>
  <si>
    <t>im/RUOlb7H/Olp2btrV7LDZlrPv7sDQD0kwop/Gh7DLFeFdJqA2CF5BFGWXFmpDxPg+N3kdoqFxyL9qm97gvLD0JNPxp6XFcZcicdK3THG8R3sTXK/L2C/1Jq/bMvuUjuLeMORyWbuqLZRjimTQ2rQdB04t89/1O/w1cDnyilFU=</t>
  </si>
  <si>
    <t>gate celo 3</t>
  </si>
  <si>
    <t>@510nxjiz</t>
  </si>
  <si>
    <t>RhOpT5obF2L1sb0XabL0P/5BXuE0ycua/HoVnZeZuI7vRX2w8MXeVVgLkFED1SOQ1v9DZMoDHfNUfIiXPxEwd76ZX8DNRroNGIo35sI2bHKTDeVWllAnDqSIBLI+Mhhgu8PVmvps54I9DsB6AvumOwdB04t89/1O/w1cDnyilFU=</t>
  </si>
  <si>
    <t>gate celo 4</t>
  </si>
  <si>
    <t>@138oslea</t>
  </si>
  <si>
    <t>KOrhZbpojoBSM5qIuuMFyQo2iFiwAvaKM+XdTlGAtmztsyw0rTdYjnE4vVrV/v7OLtM3JL5tSnRyDw5QT6yMeEfX8yXy2bR0prAtvXcJcAcqWuVF+V9E0zvhyV6sIFtgSwao8TZ19QPPBfYbFtnwIQdB04t89/1O/w1cDnyilFU=</t>
  </si>
  <si>
    <t>gate celo 5</t>
  </si>
  <si>
    <t>@192puvmb</t>
  </si>
  <si>
    <t>WCegHEhcrDdp4Tjfo+mOoTJD65lmTUMZPSgjrynljTdt4Wb/FkANC5S8N2/NztC5Z5Bjj2GGbQpHzj3+G1LVmYp2C1fADx/z2CxQiZwqui0vyZjvd7hxeVABo+/zFbARZq8gtWgnIWS5e9Y9liBEEAdB04t89/1O/w1cDnyilFU=</t>
  </si>
  <si>
    <t>gate celo 6</t>
  </si>
  <si>
    <t>gate celo 7</t>
  </si>
  <si>
    <t>Gate Celo</t>
  </si>
  <si>
    <t>gate celo 8</t>
  </si>
  <si>
    <t>gate celo 9</t>
  </si>
  <si>
    <t>gate celo 10</t>
  </si>
  <si>
    <t>mxc - celo sol</t>
  </si>
  <si>
    <t>mxc celo1</t>
  </si>
  <si>
    <t>@746vchlt</t>
  </si>
  <si>
    <t>mWJYBZSbJfNdKXv0Xv7LnOunO+C0NG2yLrM/F01lV8hMD2dodGrU5eYbQegA/PYMbkNBzzlrpVVo4Y0PCHxO+o+d+ylFQ2XHnE2oAAeUamw/BYrcpHs4BHfQCuvTOnjjO23L3lZqCpF5+7BCCOdODQdB04t89/1O/w1cDnyilFU=</t>
  </si>
  <si>
    <t>mxc celo2</t>
  </si>
  <si>
    <t>@216nnqxo</t>
  </si>
  <si>
    <t>g09Yr+k+J191ySfDbV1Oe+JJH79MhqR/Cuxb7aQHhb0D/PRRWUVIBpgN6UsF6GGmbWt/geOu2wkJ3EDOuTpLTBsiOvLDUcRzmURU2Q2/sB45ZmrN8tI93xEDWELrR+llTJ6h9QW8Bx/d8xQljLQnywdB04t89/1O/w1cDnyilFU=</t>
  </si>
  <si>
    <t>mxc celo3</t>
  </si>
  <si>
    <t>@622ybkcv</t>
  </si>
  <si>
    <t>+vftMFmzu5uow2SSAP1AETwJ84vzLQt1rKAe/uki2nTyA6szmccYeTHvZyXsMZrug1Vbwt01u/+6JbKMMYGWm0C8TuY/o/L1Bso7VKgW2V8x2YY2LKjIlOXRqqWb5CkAAhxtFkaW0+HXx7m6BflJewdB04t89/1O/w1cDnyilFU=</t>
  </si>
  <si>
    <t>mxc celo4</t>
  </si>
  <si>
    <t>@451vwjof</t>
  </si>
  <si>
    <t>PNEi6tdxmjDQPeIy1sEeMBG3Sa/xC4xiSrh6ICAsue1zfyYyh1zLCsJ0/EKZxFhq7k4kfidDPDLh4z7LROmnVFDh056ZzzxtyGpwd3IklsN6uBIudd2kT6PQpyDpYjq0ZvCqGbyRhOs4Yq5R6YU+yQdB04t89/1O/w1cDnyilFU=</t>
  </si>
  <si>
    <t>mxc celo5</t>
  </si>
  <si>
    <t>@837udqwa</t>
  </si>
  <si>
    <t>r4RHiBGXv6NfWSbhyaaszhHQZ2r0df/5q6L7ke8B2TV7amnnw30DlqIGqAM0NF8LqaKbqHfqRbGGRuRVc1/nYGCseF3qGdBDRiigBtoTOSf+2Ho14eg3Guhz5Zlgf7/TuxlYBbEUnl/OCXyCBxOH9AdB04t89/1O/w1cDnyilFU=</t>
  </si>
  <si>
    <t>mxc celo6</t>
  </si>
  <si>
    <t>@463wakah</t>
  </si>
  <si>
    <t>FHL654Krpu33Xn3V7waWCgiU1Z3QrxyQWS42OTscgn4v3JvgzP+RQYz+HMw86Qlb2V0Xql3bQT1Ow9WvkB111B5tz8Fvejl5gZFQKzbQa1DYUN/Egb8Y81FJKpiufAKdfCAIUV9BbRWJv+w8448zpwdB04t89/1O/w1cDnyilFU=</t>
  </si>
  <si>
    <t>mxc celo7</t>
  </si>
  <si>
    <t>@370cfqui</t>
  </si>
  <si>
    <t>vChV0LP5KpbvMAna57W87WQbr4UxyCKH06RFtlZQBQluJRPKctJsFbJTk2k8fwfyQ6ZgMF92DTUly5hG1+hV2ljQNZ7kff5Nn4hVEpXXqeUHmvf59l8/gKF0opMDKF061F3bXVeSJ1/TpuXVTLrEEQdB04t89/1O/w1cDnyilFU=</t>
  </si>
  <si>
    <t>mxc celo8</t>
  </si>
  <si>
    <t>@014zduqa</t>
  </si>
  <si>
    <t>A3gRZchhStOTwifS6aJOxcZxSEArR1fE2SMZCdUPgqisWmuezSzxssDW3dX8FWd0CtEfnM01qG+xewomgjNpOb6XQBAzFAyspO2S83qE2T6pgg5G9svw2oi7MCxcRntxlCJiuVI7HZmDpjmKr2ipwAdB04t89/1O/w1cDnyilFU=</t>
  </si>
  <si>
    <t>mxc celo9</t>
  </si>
  <si>
    <t>@886iwdqi</t>
  </si>
  <si>
    <t>g49kAuPc7+mKERJ9jF9rSriAYGf7xFJSfrm4V+xoeQ5P1U/li8ZB8fbK03eznAzSC1o8oFlxD8UmMBq5QIz1f2g7QrqTrk+iUjMytaCUy8c/rKcuBAwLMRA7pQLTj8sqEm6+nFn44M9TZ+w1Oo45dwdB04t89/1O/w1cDnyilFU=</t>
  </si>
  <si>
    <t>mxc celo10</t>
  </si>
  <si>
    <t>@280pbjat</t>
  </si>
  <si>
    <t>Q3yU6FKDYDe6j1a3Wt4NO/+I7XQ7XPaUQwETdPEVLMBJmlNP5REXNRqGLkYKe6jCzqzaIvHO6R0QDCjM5mfrC49IiRN4RgZiAQ8DgS+tA3dy10iPBgzM8iPXczgpdMQsmxFTf4iwTjvw2AqYL6iRUgdB04t89/1O/w1cDnyilFU=</t>
  </si>
  <si>
    <t>mxc celo11</t>
  </si>
  <si>
    <t>@530vqhsg</t>
  </si>
  <si>
    <t>o+gsVj/vodXfrIjrZYyUW6YxsXPhdD59scfN8iiORV4JX6tT1ETFKxQy9UwCWqxEn5SqbIxubU9y3elI0MGfJr2iswX8RIuWPC4JMjdjBij2rVEmUlNdAFPoN0Ntq0i2HybZcqBs09AG6OdCl+iNWgdB04t89/1O/w1cDnyilFU=</t>
  </si>
  <si>
    <t>mxc celo12</t>
  </si>
  <si>
    <t>mxc - oct ref</t>
  </si>
  <si>
    <t>mxc oct1</t>
  </si>
  <si>
    <t>@390lgkbh</t>
  </si>
  <si>
    <t>F/z2g7pWTNF3glzFSRbQzm4pzMi6IT7d6UrQA9HKdJAe8If0ZgRRtqxseIznsAQhiFWaUvDEhl0ua7wdvjh0tA0VQWm9eymdJehLcROfzNVvG+9Eb6cd8T7QZvPah4JzNbF+IJvNU6QYRd7tmUGjfwdB04t89/1O/w1cDnyilFU=</t>
  </si>
  <si>
    <t>mxc oct2</t>
  </si>
  <si>
    <t>@526hskib</t>
  </si>
  <si>
    <t>mGqFjXrdyWPaIlClYJuD5uRwmAM9D++1UDfoFuJbKK3S/i3vLx0PaNogTY/C9NOMYqwsVeqLE42yToKhYaMKoCjvJh5/kwBcaZd3vpZmI7i/UYuIEy4ITsOUiIOgtmX/3xs/tMlXlQHzuh2ewqwGNAdB04t89/1O/w1cDnyilFU=</t>
  </si>
  <si>
    <t>mxc oct3</t>
  </si>
  <si>
    <t>@583aisat</t>
  </si>
  <si>
    <t>A/sodty90zlTv4ae63wmQmI9xUaz/RHHogwCPIItaqYFI94X+dgssCpUGiF/9rzBtMDXEe7gxjab9i+UN0wL3c51SXf35P/6EFmsysv90JCOXPY/EWmnrjG9BKfTO13o3iaa5dSiq6BGD/yYOYTMhwdB04t89/1O/w1cDnyilFU=</t>
  </si>
  <si>
    <t>mxc oct4</t>
  </si>
  <si>
    <t>@773ejuqe</t>
  </si>
  <si>
    <t>K/AMEYplfy5rKR/CoB6mNW6SyTWHhD8Oo3bBPoqcLTLIoVYRCOQ5WOogvxiKEGjnHA0LUeAZ6BQllAumy3GE9iSzFrNJh9pRF41zj35nfrQvOgfqhAOJNt3rvNhOLpttD3rCdT7KmgXBBKvLwJJvowdB04t89/1O/w1cDnyilFU=</t>
  </si>
  <si>
    <t>mxc oct5</t>
  </si>
  <si>
    <t>@467mkecp</t>
  </si>
  <si>
    <t>ADs0WZehW5bH7FiLEzpml46D3b5XKf5iQ7iVNqbN6eegCIZ3FEtq5MBtfgxsgJCU9CdtBsf6sgRUfVonGPepXKa0RKjxBbt7fqb3LzsUqypkFY7vYTkH7/AOWyw1T8D0nY5Vq3/d72sr9kphrSidkwdB04t89/1O/w1cDnyilFU=</t>
  </si>
  <si>
    <t>mxc oct6</t>
  </si>
  <si>
    <t>@670ppqvl</t>
  </si>
  <si>
    <t>twXNHnZKA9naQ+QiRf2ThRbYME/L6i1L+xHQlk1iIAWLyERPX64c4Qwwi+lHhyQoPRYX9Ks2Dj/Wx+3srnHqgk6qaXltzEp9em+CI7v3Acahudg/U7RsrHd63+C4AxGI5Mp2n+K+7nqkyrfCFAtdTAdB04t89/1O/w1cDnyilFU=</t>
  </si>
  <si>
    <t>mxc oct7</t>
  </si>
  <si>
    <t>@879gffyn</t>
  </si>
  <si>
    <t>XeJxpGqPtcO9S2bgWoQ7+pf0jasL8PMG38fO1PTj7BKxUpomQNPUZ75+Z/YNtGAoO+EjsZ5mzghfJThksgloeHGO643KJFP9h6hN5QO9Cz0zTP1sih2a5CVJ3La5pyrGC7YZNnjQ3GnDg6BqB8kNPwdB04t89/1O/w1cDnyilFU=</t>
  </si>
  <si>
    <t>mxc oct8</t>
  </si>
  <si>
    <t>@638gfmao</t>
  </si>
  <si>
    <t>0wc0SShZmj3OyIgt67rmgLlfBWtyC5ttHZHwWzOfwQFOtVABl1YW94Oye4vnc9bprfQ6CbnuX+Pwt6TOWYyevkOqgd5p5okO5WineiEK3dc0keZSQ8+1FRl8Cwsl+QX1FUAXWQNUU9W7m06cmhGEjQdB04t89/1O/w1cDnyilFU=</t>
  </si>
  <si>
    <t>mxc oct9</t>
  </si>
  <si>
    <t>@505rzizc</t>
  </si>
  <si>
    <t>Fj+MAnoVjpqKQLnnkLj5j4mBfWKtWze3AOL9OBAke6gTPU1tMfaznDGXcffAK4+gIpml1a5HKwIvcsHuLwGohHPY3gJRj2FFPrmxt6ruvP/GyOpIDav74dCxY6K8wvWjvxklIUVAaQfC/SIly5DkfAdB04t89/1O/w1cDnyilFU=</t>
  </si>
  <si>
    <t>mxc oct10</t>
  </si>
  <si>
    <t>@679lhgyj</t>
  </si>
  <si>
    <t>5HurO3hfpt+2wCkiW/rGiB2fdw2wbcEDGKi5E62eShnlPGbF71POur8IG4ZXVNERTGW7rrquY1rBdoxyqNoYGxfdaENtUolln6orhuJr+QBqMnV8vOUvkgsATqDSgLscUSLk//s4gudv7GBesrkMwAdB04t89/1O/w1cDnyilFU=</t>
  </si>
  <si>
    <t>mxc oct11</t>
  </si>
  <si>
    <t>@421cboqw</t>
  </si>
  <si>
    <t>YC5bdTbt1gVvJBAN3uTu40VJ+uDWc4RuJW07lyS1LVDzpqxJPRLLmz1tgAXmO8UikMek4esIVNbL5FDLgU1Na5JgX8vPmmi9x6PzduXzY3Qq0Xon3WbgbZvQA5/rG7nqnj8QC2ElOruycGDDAqSoSgdB04t89/1O/w1cDnyilFU=</t>
  </si>
  <si>
    <t>mxc oct12</t>
  </si>
  <si>
    <t>@573ngiwr</t>
  </si>
  <si>
    <t>xqH17RlDHxtk+JRbfcfqSDl2EavUeHVz6S/ofztNb2YjPFD60UfUtWhU1CbuJQCUv2cEjjR9cXAk4Mw+yM7fMDp9zRBtMR9rV5IuxfTCA9Jf163Kyodp4SibEMnch431E2K8NF0GBTtIYnDGEr4/wAdB04t89/1O/w1cDnyilFU=</t>
  </si>
  <si>
    <t>mxc oct13</t>
  </si>
  <si>
    <t>@460owlxc</t>
  </si>
  <si>
    <t>m/fzeZ0HV5lwePUFawmcO+w4EhRCm3feVRC4NwAXHDXVOY0ZF0ewUL6xcDtOJjo89OxOFeSdww+HhjP7q5Ig7OgDMJ8iFQnDOjYLgggVmX6RCxA1wamZ4BboraaE7zwryr3+2jcvCBUsmIaY6Tmu2wdB04t89/1O/w1cDnyilFU=</t>
  </si>
  <si>
    <t>mxc oct14</t>
  </si>
  <si>
    <t>@274jdvit</t>
  </si>
  <si>
    <t>zlL8Ttjuc/wV3gjm/+YCbMPMA9wTEf+0FyYPQsPv4c5I32g0ST6ADcefk1mH+r+PHapljLvbk8Zew/u5GRc5r5LQ/C4HQwPHWjX/vXVOna7Go7ldakoy4pZg0mebFTv759NgugAXrSl/6JrmLL0D/wdB04t89/1O/w1cDnyilFU=</t>
  </si>
  <si>
    <t>mxc oct15</t>
  </si>
  <si>
    <t>@859prnib</t>
  </si>
  <si>
    <t>2fcSCvnXaAxZrGnBl/gfGaCg1u4wFMvwMMMD/3S4Gm6R0ucn3q0eUkE2SDHTLetOdgHTea9h3Y3fT+29fTEyPGD5f4e4F+FZnWqV1OhzdYxvvk8/jDWb7G11SRHBZ/OM/yj/qzGUUTBBVGaUH17hMAdB04t89/1O/w1cDnyilFU=</t>
  </si>
  <si>
    <t>mxc oct16</t>
  </si>
  <si>
    <t>@850gswss</t>
  </si>
  <si>
    <t>mWFGnCFySfMvUA8fqgH0itcjpuBMqA60jDUMsPwN96cx9Pgo6wzJbYCOQVr9uXGSsEm7DCYZKvfoh3kaFWEp9tn3xQVknIwYXtx+Sp6Mfbz8ezak2BxZvYVR9da12nTV1htEUFZGq9T9kTWi1SFb1gdB04t89/1O/w1cDnyilFU=</t>
  </si>
  <si>
    <t>mxc oct17</t>
  </si>
  <si>
    <t>@546mpmqd</t>
  </si>
  <si>
    <t>OOClKPJe7nLqX6Ra2/9tpGEOZXHfk6MdFfMGXjzJdMK+gpRq2vOprPqZlezx1tZpx2i8e7P0P/uknePmw2CWD2a+G1whuc9W+0ozzl5hTNaYPpGZYxAmXu+bkXpf27kCb+LoI0bYarjPaukJ6y+hVQdB04t89/1O/w1cDnyilFU=</t>
  </si>
  <si>
    <t>mxc oct18</t>
  </si>
  <si>
    <t>@542vupmv</t>
  </si>
  <si>
    <t>nRWxVqsduRMyGgOS9M5mTnMC1jji9wBayl9iKETRW3XclGbQ0xJnJOnhNvbM6mXSyKcHjsEaILik2gjcMhtK1bR+YQG5tk4EQyMG7AKK/FedaRRORQPm0Kr1rjjJAcUu/49sdAjnnvb5b8YFow0GRQdB04t89/1O/w1cDnyilFU=</t>
  </si>
  <si>
    <t>mxc oct19</t>
  </si>
  <si>
    <t>mxc - paras</t>
  </si>
  <si>
    <t>mxc paras1</t>
  </si>
  <si>
    <t>@175dcvjq</t>
  </si>
  <si>
    <t>4no/DYhYF+Lbppi0nImrEbEewyzuh2i3Znog4b78lIFA/4+vcdDmCIMkE2JG5LTK23vrByjXl6QFXZY2HCI/YhAfD3+1w2wqZOCs5yke5uCtdhTfr2s3FSPMa2rLUXhEpLFI+cx/beMfXpryTyCNowdB04t89/1O/w1cDnyilFU=</t>
  </si>
  <si>
    <t>mxc paras2</t>
  </si>
  <si>
    <t>@828nolfl</t>
  </si>
  <si>
    <t>R1oxdkjBjDSz2W874vh5CY7c2wq8LNz3xN8ZsxFIaZGXM76riG7bKRFz+d5U0J5aIUpVQHxc4IUzfZvIy/2bQLQfVTPEPxgGgZOKLFrR7PZQNAYH3YyfDyHkfc/wX00T2+kpscBzjYVZh3CkGjHQIgdB04t89/1O/w1cDnyilFU=</t>
  </si>
  <si>
    <t>mxc paras3</t>
  </si>
  <si>
    <t>@099haysz</t>
  </si>
  <si>
    <t>AEujMtjS97TQWOf4H144qZHtpXdlR6gVkKkIhAdA9FI/DPd+M0vubE9hkepHu6JfaPPJSrTfxgnWUJttY6Kz7Re/+C3WOWFqGdNEK//AqgAn0wdcRaKJGTIl1qgBJkz6JLH+Fpl7M+6zBmq4s4R+bAdB04t89/1O/w1cDnyilFU=</t>
  </si>
  <si>
    <t>mxc paras4</t>
  </si>
  <si>
    <t>@836gjnxy</t>
  </si>
  <si>
    <t>e/8A8Gbssg8VlaYi4+ru1w7+nlS07y5GN67RiuUk7Vgcb+ttFRxjxskz9yA3wAprylwY/4DFYN9ZHkK7Qv+MbWr7qrtSfYmgYzJMDc/r+C639VLXtekaqzykp3SKkMFl3awLSvRBBaCQMu0DTTJQKgdB04t89/1O/w1cDnyilFU=</t>
  </si>
  <si>
    <t>mxc paras5</t>
  </si>
  <si>
    <t>@865ycbxh</t>
  </si>
  <si>
    <t>WM4N4ODQyjdsPkXmUkajpZg4LJ8yeg6H4lmmLI438mQdWZCDzw/nUuRwrzrar6j9zw4EDSja8sINUuaFH13iox13K87ZF7whoNB41tJuvukA64oVkroYgS+lTE5UK7WQFUTJ4AojRKzUrP9obeOouwdB04t89/1O/w1cDnyilFU=</t>
  </si>
  <si>
    <t>mxc paras6</t>
  </si>
  <si>
    <t>@417qtaou</t>
  </si>
  <si>
    <t>fTpeD/Aor/lLS/NQXz/qSsyxhZWhhHAFkcANcmsozo9ZwC8zRbwnoW/Q5ewkkVohr5UkJov5vu3A1tHccx68pmqRYY0Yr33EnIv1yqkUrA2YvuT9yqV5M3ElQksY6DOtusYeYk+bk6qH74GdNx2B4AdB04t89/1O/w1cDnyilFU=</t>
  </si>
  <si>
    <t>mxc paras7</t>
  </si>
  <si>
    <t>@810ovjaw</t>
  </si>
  <si>
    <t>jyqes8Ep1y8w7exvN4MyFvGvLWOzeFKyYGZIpeJzl6XdN2SRz+FVhzJC/Ndr0NN9W4Es+ncFoGl9OXkvzUhuXc64cAkvhpFGw/tgnvhQF1sMU1oSftwodEOOxk/0k1qYfjR481kGbNUGDdkxpuYmvgdB04t89/1O/w1cDnyilFU=</t>
  </si>
  <si>
    <t>mxc paras8</t>
  </si>
  <si>
    <t>@378jcigl</t>
  </si>
  <si>
    <t>KEmKYVPe69BW6V8ndmJoIuCo0cPQfUr9cFiDQSu+yZRj/HoDnzh1E7x6yZUwlT77xYaB+I1XmobaL8xvohNbHEJPtxaE7o0AGJmYKixKEoo/IXlyFDyk2lUU7OYROLXZ9ww9hi8QM9dakeaaE74XbQdB04t89/1O/w1cDnyilFU=</t>
  </si>
  <si>
    <t>cổ tức</t>
  </si>
  <si>
    <t>Near-celo-bina</t>
  </si>
  <si>
    <t>celo</t>
  </si>
  <si>
    <t>usdt</t>
  </si>
  <si>
    <t>oct</t>
  </si>
  <si>
    <t>ref</t>
  </si>
  <si>
    <t>paras</t>
  </si>
  <si>
    <t>Near-celo-gate</t>
  </si>
  <si>
    <t>Near-celo-mexc</t>
  </si>
  <si>
    <t>Near-oct-gate</t>
  </si>
  <si>
    <t>Near-oct-mexc</t>
  </si>
  <si>
    <t>Near-paras-mexc</t>
  </si>
  <si>
    <t>Avax-benqi-bina</t>
  </si>
  <si>
    <t>Avax-benqi-gate</t>
  </si>
  <si>
    <t>Avax-benqi-mexc</t>
  </si>
  <si>
    <t>avax</t>
  </si>
  <si>
    <t>png</t>
  </si>
  <si>
    <t>joe</t>
  </si>
  <si>
    <t>benqi</t>
  </si>
  <si>
    <t>Vốn Bot hệ Near</t>
  </si>
  <si>
    <t>Vốn Bot hệ Avax</t>
  </si>
  <si>
    <t>Avax</t>
  </si>
  <si>
    <t>Loại bot</t>
  </si>
  <si>
    <t>Vốn Cũ</t>
  </si>
  <si>
    <t>Vốn Mới</t>
  </si>
  <si>
    <t>Mục</t>
  </si>
  <si>
    <t>vốn đã bỏ vào</t>
  </si>
  <si>
    <t>mọi người góp</t>
  </si>
  <si>
    <t>còn thiếu</t>
  </si>
  <si>
    <t xml:space="preserve">Tình trạng </t>
  </si>
  <si>
    <t>đã nạp</t>
  </si>
  <si>
    <t>địa chỉ ví</t>
  </si>
  <si>
    <t>số lpb</t>
  </si>
  <si>
    <t>near cần nạp</t>
  </si>
  <si>
    <t>nhà đầu tư</t>
  </si>
  <si>
    <t>A hào</t>
  </si>
  <si>
    <t>Bảng Tỏng Hợp Huy Động Vốn đợt 1</t>
  </si>
  <si>
    <t>Tổng kết</t>
  </si>
  <si>
    <t>bot gate oct</t>
  </si>
  <si>
    <t>bot mexc oct</t>
  </si>
  <si>
    <t>bot paras</t>
  </si>
  <si>
    <t>bot Binance Celo</t>
  </si>
  <si>
    <t>bot Mexc Celo</t>
  </si>
  <si>
    <t>bot gate Celo</t>
  </si>
  <si>
    <t>cpavax</t>
  </si>
  <si>
    <t>0x63518C2e2E4A5CeD48Ae040c6F2474c334283DA4</t>
  </si>
  <si>
    <t>teambottrade</t>
  </si>
  <si>
    <t>0x62dA9Fc3496705a0374ADAee37132aa74b4dd70B</t>
  </si>
  <si>
    <t>0x97dD4f33Cac1aab350274730DC28086c5DA31e07</t>
  </si>
  <si>
    <t>0xEe80049fC7DCEEba1629D5814F32b1aB2d611dd5</t>
  </si>
  <si>
    <t>Tuanle</t>
  </si>
  <si>
    <t>0x2484d752dc0F28cA018FAA7Ce79b59CA278cf888</t>
  </si>
  <si>
    <t>0xc234964cf4dE09d252AFe31354F60bAFF836604d</t>
  </si>
  <si>
    <t>pool stable coin</t>
  </si>
  <si>
    <t>đơn vị K</t>
  </si>
  <si>
    <t>pool tk thấp</t>
  </si>
  <si>
    <t>pool tk cao</t>
  </si>
  <si>
    <t>15M</t>
  </si>
  <si>
    <t>Quy ra avax</t>
  </si>
  <si>
    <t>Avax-benqi-FTX</t>
  </si>
  <si>
    <t>bot near-celo gate</t>
  </si>
  <si>
    <t>Bot near-celo bina</t>
  </si>
  <si>
    <t>bot near oct ref gate</t>
  </si>
  <si>
    <t>bot near-celo mexc</t>
  </si>
  <si>
    <t>bot near oct ref mexc</t>
  </si>
  <si>
    <t>bot near paras mexc</t>
  </si>
  <si>
    <t>bot avax bina</t>
  </si>
  <si>
    <t>bot avax gate</t>
  </si>
  <si>
    <t>bot avax mexc</t>
  </si>
  <si>
    <t>bot bnb-cake bina</t>
  </si>
  <si>
    <t>bot avax ftx</t>
  </si>
  <si>
    <t>tên bot</t>
  </si>
  <si>
    <t>kênh tele</t>
  </si>
  <si>
    <t>https://t.me/binancedifd</t>
  </si>
  <si>
    <t>https://t.me/teambottrade</t>
  </si>
  <si>
    <t>https://t.me/mexccelosol</t>
  </si>
  <si>
    <t>https://t.me/botgate_Near_Ref_Oct</t>
  </si>
  <si>
    <t>https://t.me/BotMxc_Nearref</t>
  </si>
  <si>
    <t>https://t.me/botavaxmexc</t>
  </si>
  <si>
    <t>https://t.me/botavaxftx</t>
  </si>
  <si>
    <t>https://t.me/gateavaxpng</t>
  </si>
  <si>
    <t>https://t.me/botavaxbinance</t>
  </si>
  <si>
    <t>https://t.me/near_paras</t>
  </si>
  <si>
    <t>admin near</t>
  </si>
  <si>
    <t>https://t.me/botnear</t>
  </si>
  <si>
    <t>https://t.me/botbscbnbcake</t>
  </si>
  <si>
    <t>0x9f1b3ab87db12886f90fa144422def86fbd67fa7</t>
  </si>
  <si>
    <t>116.5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</si>
</sst>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%"/>
  </numFmts>
  <fonts count="20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163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11"/>
      <color theme="1"/>
      <name val="ＭＳ Ｐゴシック"/>
      <family val="2"/>
      <charset val="128"/>
    </font>
    <font>
      <b/>
      <sz val="11"/>
      <color theme="1"/>
      <name val="Calibri"/>
      <family val="3"/>
      <charset val="163"/>
    </font>
    <font>
      <sz val="11"/>
      <color theme="1"/>
      <name val="Calibri"/>
      <family val="2"/>
      <charset val="163"/>
    </font>
    <font>
      <sz val="11"/>
      <color theme="1"/>
      <name val="Segoe UI"/>
      <family val="2"/>
      <charset val="238"/>
    </font>
    <font>
      <b/>
      <sz val="11"/>
      <color theme="1"/>
      <name val="Calibri"/>
      <family val="2"/>
      <charset val="163"/>
    </font>
    <font>
      <sz val="11"/>
      <name val="Calibri"/>
      <family val="2"/>
      <charset val="163"/>
      <scheme val="minor"/>
    </font>
    <font>
      <sz val="1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0"/>
      <color rgb="FF495057"/>
      <name val="Segoe UI"/>
      <family val="2"/>
    </font>
    <font>
      <sz val="10"/>
      <color rgb="FF24272A"/>
      <name val="Segoe UI"/>
      <family val="2"/>
    </font>
    <font>
      <u/>
      <sz val="11"/>
      <color theme="10"/>
      <name val="Calibri"/>
      <family val="2"/>
      <charset val="163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A9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4" borderId="1" xfId="0" applyFont="1" applyFill="1" applyBorder="1" applyAlignment="1">
      <alignment horizontal="left" vertical="center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5" xfId="0" applyFill="1" applyBorder="1"/>
    <xf numFmtId="0" fontId="0" fillId="2" borderId="12" xfId="0" applyFill="1" applyBorder="1"/>
    <xf numFmtId="0" fontId="0" fillId="0" borderId="11" xfId="0" applyBorder="1"/>
    <xf numFmtId="22" fontId="0" fillId="0" borderId="0" xfId="0" applyNumberFormat="1"/>
    <xf numFmtId="0" fontId="8" fillId="0" borderId="0" xfId="0" applyFont="1"/>
    <xf numFmtId="10" fontId="0" fillId="0" borderId="0" xfId="1" applyNumberFormat="1" applyFont="1"/>
    <xf numFmtId="165" fontId="0" fillId="0" borderId="0" xfId="1" applyNumberFormat="1" applyFont="1" applyAlignment="1"/>
    <xf numFmtId="0" fontId="0" fillId="0" borderId="0" xfId="0" applyFill="1" applyBorder="1" applyAlignment="1">
      <alignment wrapText="1"/>
    </xf>
    <xf numFmtId="0" fontId="0" fillId="6" borderId="0" xfId="0" applyFill="1"/>
    <xf numFmtId="0" fontId="1" fillId="5" borderId="0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2" fontId="0" fillId="7" borderId="1" xfId="0" applyNumberForma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left" vertical="center"/>
    </xf>
    <xf numFmtId="0" fontId="15" fillId="7" borderId="1" xfId="0" applyFont="1" applyFill="1" applyBorder="1" applyAlignment="1">
      <alignment horizontal="left" vertical="center"/>
    </xf>
    <xf numFmtId="0" fontId="1" fillId="5" borderId="3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10" fontId="0" fillId="7" borderId="1" xfId="1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 wrapText="1"/>
    </xf>
    <xf numFmtId="10" fontId="0" fillId="0" borderId="0" xfId="0" applyNumberFormat="1" applyAlignment="1">
      <alignment horizontal="center" vertical="center" wrapText="1"/>
    </xf>
    <xf numFmtId="0" fontId="0" fillId="9" borderId="1" xfId="0" applyFill="1" applyBorder="1" applyAlignment="1">
      <alignment horizontal="left" vertical="center" wrapText="1"/>
    </xf>
    <xf numFmtId="10" fontId="0" fillId="9" borderId="1" xfId="1" applyNumberFormat="1" applyFont="1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6" fillId="0" borderId="0" xfId="0" applyFont="1"/>
    <xf numFmtId="0" fontId="0" fillId="2" borderId="1" xfId="0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17" fillId="0" borderId="0" xfId="0" applyFont="1"/>
    <xf numFmtId="0" fontId="0" fillId="10" borderId="1" xfId="0" applyFill="1" applyBorder="1" applyAlignment="1">
      <alignment horizontal="left" vertical="center"/>
    </xf>
    <xf numFmtId="0" fontId="17" fillId="10" borderId="1" xfId="0" applyFont="1" applyFill="1" applyBorder="1" applyAlignment="1">
      <alignment horizontal="left" vertical="center"/>
    </xf>
    <xf numFmtId="0" fontId="0" fillId="10" borderId="0" xfId="0" applyFill="1"/>
    <xf numFmtId="0" fontId="16" fillId="10" borderId="7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/>
    </xf>
    <xf numFmtId="0" fontId="17" fillId="11" borderId="1" xfId="0" applyFont="1" applyFill="1" applyBorder="1" applyAlignment="1">
      <alignment horizontal="left" vertical="center"/>
    </xf>
    <xf numFmtId="0" fontId="0" fillId="11" borderId="0" xfId="0" applyFill="1"/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1" xfId="0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18" fillId="0" borderId="1" xfId="0" applyFont="1" applyBorder="1"/>
    <xf numFmtId="0" fontId="0" fillId="0" borderId="1" xfId="0" applyFill="1" applyBorder="1"/>
    <xf numFmtId="2" fontId="0" fillId="0" borderId="1" xfId="0" applyNumberFormat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9" fillId="0" borderId="1" xfId="2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19" fillId="0" borderId="1" xfId="2" applyBorder="1" applyAlignment="1">
      <alignment horizontal="left"/>
    </xf>
    <xf numFmtId="0" fontId="4" fillId="2" borderId="0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/>
    </xf>
    <xf numFmtId="0" fontId="16" fillId="10" borderId="3" xfId="0" applyFont="1" applyFill="1" applyBorder="1" applyAlignment="1">
      <alignment horizontal="center" vertical="center" wrapText="1"/>
    </xf>
    <xf numFmtId="0" fontId="16" fillId="10" borderId="7" xfId="0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16" fillId="11" borderId="3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A9FCC"/>
      <color rgb="FF898600"/>
      <color rgb="FFFFF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651A8AFE-6118-5F71-B777-A885FD67BAEF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12</xdr:col>
      <xdr:colOff>396240</xdr:colOff>
      <xdr:row>7</xdr:row>
      <xdr:rowOff>60960</xdr:rowOff>
    </xdr:from>
    <xdr:to>
      <xdr:col>16</xdr:col>
      <xdr:colOff>106680</xdr:colOff>
      <xdr:row>22</xdr:row>
      <xdr:rowOff>83820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2C210785-3313-7D04-481D-70C385DD2932}"/>
            </a:ext>
          </a:extLst>
        </xdr:cNvPr>
        <xdr:cNvSpPr/>
      </xdr:nvSpPr>
      <xdr:spPr>
        <a:xfrm>
          <a:off x="10690860" y="17678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NEAR" textlink="">
      <xdr:nvSpPr>
        <xdr:cNvPr id="2" name="正方形/長方形 1">
          <a:extLst>
            <a:ext uri="{FF2B5EF4-FFF2-40B4-BE49-F238E27FC236}">
              <a16:creationId xmlns:a16="http://schemas.microsoft.com/office/drawing/2014/main" id="{E0AE7802-68D4-4946-92D1-6E1320553F68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10</xdr:col>
      <xdr:colOff>114300</xdr:colOff>
      <xdr:row>5</xdr:row>
      <xdr:rowOff>99060</xdr:rowOff>
    </xdr:from>
    <xdr:to>
      <xdr:col>12</xdr:col>
      <xdr:colOff>670560</xdr:colOff>
      <xdr:row>20</xdr:row>
      <xdr:rowOff>121920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FEDEB8A8-1152-4E7E-9685-41AAC911EB82}"/>
            </a:ext>
          </a:extLst>
        </xdr:cNvPr>
        <xdr:cNvSpPr/>
      </xdr:nvSpPr>
      <xdr:spPr>
        <a:xfrm>
          <a:off x="9654540" y="147066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Khởi</a:t>
          </a:r>
          <a:r>
            <a:rPr kumimoji="1" lang="en-US" altLang="ja-JP" sz="1100" baseline="0"/>
            <a:t> động lại cái excel này</a:t>
          </a:r>
          <a:endParaRPr kumimoji="1" lang="en-US" altLang="ja-JP" sz="1100"/>
        </a:p>
        <a:p>
          <a:pPr algn="l"/>
          <a:r>
            <a:rPr kumimoji="1" lang="en-US" altLang="ja-JP" sz="1100"/>
            <a:t>3&gt; 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60961</xdr:rowOff>
    </xdr:from>
    <xdr:to>
      <xdr:col>8</xdr:col>
      <xdr:colOff>15240</xdr:colOff>
      <xdr:row>12</xdr:row>
      <xdr:rowOff>46384</xdr:rowOff>
    </xdr:to>
    <xdr:sp macro="" textlink="">
      <xdr:nvSpPr>
        <xdr:cNvPr id="51" name="Flowchart: Connector 50">
          <a:extLst>
            <a:ext uri="{FF2B5EF4-FFF2-40B4-BE49-F238E27FC236}">
              <a16:creationId xmlns:a16="http://schemas.microsoft.com/office/drawing/2014/main" id="{062EA0E1-24FF-4EEE-8E9C-F6155CDD2410}"/>
            </a:ext>
          </a:extLst>
        </xdr:cNvPr>
        <xdr:cNvSpPr/>
      </xdr:nvSpPr>
      <xdr:spPr>
        <a:xfrm>
          <a:off x="5295900" y="1706881"/>
          <a:ext cx="815340" cy="534063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US" sz="1100"/>
            <a:t> Near</a:t>
          </a:r>
        </a:p>
      </xdr:txBody>
    </xdr:sp>
    <xdr:clientData/>
  </xdr:twoCellAnchor>
  <xdr:twoCellAnchor>
    <xdr:from>
      <xdr:col>10</xdr:col>
      <xdr:colOff>563447</xdr:colOff>
      <xdr:row>10</xdr:row>
      <xdr:rowOff>171259</xdr:rowOff>
    </xdr:from>
    <xdr:to>
      <xdr:col>12</xdr:col>
      <xdr:colOff>45287</xdr:colOff>
      <xdr:row>13</xdr:row>
      <xdr:rowOff>46687</xdr:rowOff>
    </xdr:to>
    <xdr:sp macro="" textlink="">
      <xdr:nvSpPr>
        <xdr:cNvPr id="52" name="Flowchart: Connector 51">
          <a:extLst>
            <a:ext uri="{FF2B5EF4-FFF2-40B4-BE49-F238E27FC236}">
              <a16:creationId xmlns:a16="http://schemas.microsoft.com/office/drawing/2014/main" id="{DA0260D5-6694-4B1C-BB34-7E7B4D149E7D}"/>
            </a:ext>
          </a:extLst>
        </xdr:cNvPr>
        <xdr:cNvSpPr/>
      </xdr:nvSpPr>
      <xdr:spPr>
        <a:xfrm>
          <a:off x="7878647" y="2000059"/>
          <a:ext cx="701040" cy="424068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Oct</a:t>
          </a:r>
        </a:p>
      </xdr:txBody>
    </xdr:sp>
    <xdr:clientData/>
  </xdr:twoCellAnchor>
  <xdr:twoCellAnchor>
    <xdr:from>
      <xdr:col>10</xdr:col>
      <xdr:colOff>229262</xdr:colOff>
      <xdr:row>5</xdr:row>
      <xdr:rowOff>9608</xdr:rowOff>
    </xdr:from>
    <xdr:to>
      <xdr:col>11</xdr:col>
      <xdr:colOff>404522</xdr:colOff>
      <xdr:row>7</xdr:row>
      <xdr:rowOff>141799</xdr:rowOff>
    </xdr:to>
    <xdr:sp macro="" textlink="">
      <xdr:nvSpPr>
        <xdr:cNvPr id="53" name="Flowchart: Connector 52">
          <a:extLst>
            <a:ext uri="{FF2B5EF4-FFF2-40B4-BE49-F238E27FC236}">
              <a16:creationId xmlns:a16="http://schemas.microsoft.com/office/drawing/2014/main" id="{D32FAC9C-72CF-4EDE-B37F-81135F9307B4}"/>
            </a:ext>
          </a:extLst>
        </xdr:cNvPr>
        <xdr:cNvSpPr/>
      </xdr:nvSpPr>
      <xdr:spPr>
        <a:xfrm>
          <a:off x="7544462" y="924008"/>
          <a:ext cx="784860" cy="497951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	 </a:t>
          </a:r>
        </a:p>
      </xdr:txBody>
    </xdr:sp>
    <xdr:clientData/>
  </xdr:twoCellAnchor>
  <xdr:twoCellAnchor>
    <xdr:from>
      <xdr:col>8</xdr:col>
      <xdr:colOff>260737</xdr:colOff>
      <xdr:row>5</xdr:row>
      <xdr:rowOff>61623</xdr:rowOff>
    </xdr:from>
    <xdr:to>
      <xdr:col>9</xdr:col>
      <xdr:colOff>275977</xdr:colOff>
      <xdr:row>7</xdr:row>
      <xdr:rowOff>87134</xdr:rowOff>
    </xdr:to>
    <xdr:sp macro="" textlink="">
      <xdr:nvSpPr>
        <xdr:cNvPr id="54" name="Flowchart: Connector 53">
          <a:extLst>
            <a:ext uri="{FF2B5EF4-FFF2-40B4-BE49-F238E27FC236}">
              <a16:creationId xmlns:a16="http://schemas.microsoft.com/office/drawing/2014/main" id="{B133EB42-4DD7-4DE2-9BF6-100EECEE8319}"/>
            </a:ext>
          </a:extLst>
        </xdr:cNvPr>
        <xdr:cNvSpPr/>
      </xdr:nvSpPr>
      <xdr:spPr>
        <a:xfrm>
          <a:off x="6356737" y="976023"/>
          <a:ext cx="624840" cy="391271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Celo</a:t>
          </a:r>
        </a:p>
      </xdr:txBody>
    </xdr:sp>
    <xdr:clientData/>
  </xdr:twoCellAnchor>
  <xdr:twoCellAnchor>
    <xdr:from>
      <xdr:col>10</xdr:col>
      <xdr:colOff>194806</xdr:colOff>
      <xdr:row>16</xdr:row>
      <xdr:rowOff>111292</xdr:rowOff>
    </xdr:from>
    <xdr:to>
      <xdr:col>11</xdr:col>
      <xdr:colOff>431026</xdr:colOff>
      <xdr:row>18</xdr:row>
      <xdr:rowOff>176075</xdr:rowOff>
    </xdr:to>
    <xdr:sp macro="" textlink="">
      <xdr:nvSpPr>
        <xdr:cNvPr id="55" name="Flowchart: Connector 54">
          <a:extLst>
            <a:ext uri="{FF2B5EF4-FFF2-40B4-BE49-F238E27FC236}">
              <a16:creationId xmlns:a16="http://schemas.microsoft.com/office/drawing/2014/main" id="{A598183A-6E38-4FB0-9B35-7A6ACD67D70C}"/>
            </a:ext>
          </a:extLst>
        </xdr:cNvPr>
        <xdr:cNvSpPr/>
      </xdr:nvSpPr>
      <xdr:spPr>
        <a:xfrm>
          <a:off x="7510006" y="3037372"/>
          <a:ext cx="845820" cy="430543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Stnear</a:t>
          </a:r>
        </a:p>
      </xdr:txBody>
    </xdr:sp>
    <xdr:clientData/>
  </xdr:twoCellAnchor>
  <xdr:twoCellAnchor>
    <xdr:from>
      <xdr:col>8</xdr:col>
      <xdr:colOff>79513</xdr:colOff>
      <xdr:row>2</xdr:row>
      <xdr:rowOff>66261</xdr:rowOff>
    </xdr:from>
    <xdr:to>
      <xdr:col>9</xdr:col>
      <xdr:colOff>433015</xdr:colOff>
      <xdr:row>4</xdr:row>
      <xdr:rowOff>114631</xdr:rowOff>
    </xdr:to>
    <xdr:sp macro="" textlink="">
      <xdr:nvSpPr>
        <xdr:cNvPr id="56" name="Flowchart: Connector 55">
          <a:extLst>
            <a:ext uri="{FF2B5EF4-FFF2-40B4-BE49-F238E27FC236}">
              <a16:creationId xmlns:a16="http://schemas.microsoft.com/office/drawing/2014/main" id="{4C4CA564-7B0C-4ED9-9B01-050F944B1D88}"/>
            </a:ext>
          </a:extLst>
        </xdr:cNvPr>
        <xdr:cNvSpPr/>
      </xdr:nvSpPr>
      <xdr:spPr>
        <a:xfrm>
          <a:off x="6175513" y="432021"/>
          <a:ext cx="963102" cy="41413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Skyward</a:t>
          </a:r>
        </a:p>
      </xdr:txBody>
    </xdr:sp>
    <xdr:clientData/>
  </xdr:twoCellAnchor>
  <xdr:twoCellAnchor>
    <xdr:from>
      <xdr:col>9</xdr:col>
      <xdr:colOff>291972</xdr:colOff>
      <xdr:row>4</xdr:row>
      <xdr:rowOff>53207</xdr:rowOff>
    </xdr:from>
    <xdr:to>
      <xdr:col>10</xdr:col>
      <xdr:colOff>344202</xdr:colOff>
      <xdr:row>5</xdr:row>
      <xdr:rowOff>83308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3C16EDF9-26AA-4616-B155-7826B391545D}"/>
            </a:ext>
          </a:extLst>
        </xdr:cNvPr>
        <xdr:cNvCxnSpPr>
          <a:stCxn id="56" idx="5"/>
          <a:endCxn id="53" idx="1"/>
        </xdr:cNvCxnSpPr>
      </xdr:nvCxnSpPr>
      <xdr:spPr>
        <a:xfrm>
          <a:off x="6997572" y="784727"/>
          <a:ext cx="661830" cy="21298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275977</xdr:colOff>
      <xdr:row>6</xdr:row>
      <xdr:rowOff>74378</xdr:rowOff>
    </xdr:from>
    <xdr:to>
      <xdr:col>10</xdr:col>
      <xdr:colOff>229262</xdr:colOff>
      <xdr:row>6</xdr:row>
      <xdr:rowOff>75703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2C0EC049-4B5A-4785-BBD1-AB04745B3CE3}"/>
            </a:ext>
          </a:extLst>
        </xdr:cNvPr>
        <xdr:cNvCxnSpPr>
          <a:stCxn id="54" idx="6"/>
          <a:endCxn id="53" idx="2"/>
        </xdr:cNvCxnSpPr>
      </xdr:nvCxnSpPr>
      <xdr:spPr>
        <a:xfrm>
          <a:off x="6981577" y="1171658"/>
          <a:ext cx="562885" cy="13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411327</xdr:colOff>
      <xdr:row>4</xdr:row>
      <xdr:rowOff>53206</xdr:rowOff>
    </xdr:from>
    <xdr:to>
      <xdr:col>8</xdr:col>
      <xdr:colOff>220556</xdr:colOff>
      <xdr:row>9</xdr:row>
      <xdr:rowOff>175591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86C7B664-F23F-457C-AE82-949E2C214668}"/>
            </a:ext>
          </a:extLst>
        </xdr:cNvPr>
        <xdr:cNvCxnSpPr>
          <a:endCxn id="56" idx="3"/>
        </xdr:cNvCxnSpPr>
      </xdr:nvCxnSpPr>
      <xdr:spPr>
        <a:xfrm flipV="1">
          <a:off x="5897727" y="784726"/>
          <a:ext cx="418829" cy="103678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601980</xdr:colOff>
      <xdr:row>11</xdr:row>
      <xdr:rowOff>83820</xdr:rowOff>
    </xdr:from>
    <xdr:to>
      <xdr:col>10</xdr:col>
      <xdr:colOff>318673</xdr:colOff>
      <xdr:row>16</xdr:row>
      <xdr:rowOff>174344</xdr:rowOff>
    </xdr:to>
    <xdr:cxnSp macro="">
      <xdr:nvCxnSpPr>
        <xdr:cNvPr id="60" name="Straight Arrow Connector 59">
          <a:extLst>
            <a:ext uri="{FF2B5EF4-FFF2-40B4-BE49-F238E27FC236}">
              <a16:creationId xmlns:a16="http://schemas.microsoft.com/office/drawing/2014/main" id="{FF159531-FB82-4F46-AEDD-660EC84A45CF}"/>
            </a:ext>
          </a:extLst>
        </xdr:cNvPr>
        <xdr:cNvCxnSpPr>
          <a:endCxn id="55" idx="1"/>
        </xdr:cNvCxnSpPr>
      </xdr:nvCxnSpPr>
      <xdr:spPr>
        <a:xfrm>
          <a:off x="6088380" y="2095500"/>
          <a:ext cx="1545493" cy="10049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12092</xdr:colOff>
      <xdr:row>7</xdr:row>
      <xdr:rowOff>141799</xdr:rowOff>
    </xdr:from>
    <xdr:to>
      <xdr:col>11</xdr:col>
      <xdr:colOff>56512</xdr:colOff>
      <xdr:row>11</xdr:row>
      <xdr:rowOff>48996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B7EE5CA3-B688-469B-8BD7-5D158905AB08}"/>
            </a:ext>
          </a:extLst>
        </xdr:cNvPr>
        <xdr:cNvCxnSpPr>
          <a:stCxn id="53" idx="4"/>
          <a:endCxn id="52" idx="1"/>
        </xdr:cNvCxnSpPr>
      </xdr:nvCxnSpPr>
      <xdr:spPr>
        <a:xfrm>
          <a:off x="7936892" y="1421959"/>
          <a:ext cx="44420" cy="638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15240</xdr:colOff>
      <xdr:row>10</xdr:row>
      <xdr:rowOff>146438</xdr:rowOff>
    </xdr:from>
    <xdr:to>
      <xdr:col>10</xdr:col>
      <xdr:colOff>563447</xdr:colOff>
      <xdr:row>12</xdr:row>
      <xdr:rowOff>16208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11B77908-47E3-4F1E-93A3-B453BB014731}"/>
            </a:ext>
          </a:extLst>
        </xdr:cNvPr>
        <xdr:cNvCxnSpPr>
          <a:stCxn id="51" idx="6"/>
          <a:endCxn id="52" idx="2"/>
        </xdr:cNvCxnSpPr>
      </xdr:nvCxnSpPr>
      <xdr:spPr>
        <a:xfrm>
          <a:off x="6111240" y="1975238"/>
          <a:ext cx="1767407" cy="23553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505436</xdr:colOff>
      <xdr:row>7</xdr:row>
      <xdr:rowOff>29057</xdr:rowOff>
    </xdr:from>
    <xdr:to>
      <xdr:col>8</xdr:col>
      <xdr:colOff>352243</xdr:colOff>
      <xdr:row>9</xdr:row>
      <xdr:rowOff>140337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5D16BEAD-C9A4-484A-8DDF-0A48B0464FDD}"/>
            </a:ext>
          </a:extLst>
        </xdr:cNvPr>
        <xdr:cNvCxnSpPr>
          <a:stCxn id="51" idx="7"/>
          <a:endCxn id="54" idx="3"/>
        </xdr:cNvCxnSpPr>
      </xdr:nvCxnSpPr>
      <xdr:spPr>
        <a:xfrm flipV="1">
          <a:off x="5991836" y="1309217"/>
          <a:ext cx="456407" cy="4770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589722</xdr:colOff>
      <xdr:row>7</xdr:row>
      <xdr:rowOff>68099</xdr:rowOff>
    </xdr:from>
    <xdr:to>
      <xdr:col>10</xdr:col>
      <xdr:colOff>344202</xdr:colOff>
      <xdr:row>10</xdr:row>
      <xdr:rowOff>33131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A22AEEA2-C67C-4C3C-BB06-B84DAEE4614C}"/>
            </a:ext>
          </a:extLst>
        </xdr:cNvPr>
        <xdr:cNvCxnSpPr>
          <a:endCxn id="53" idx="3"/>
        </xdr:cNvCxnSpPr>
      </xdr:nvCxnSpPr>
      <xdr:spPr>
        <a:xfrm flipV="1">
          <a:off x="6076122" y="1348259"/>
          <a:ext cx="1583280" cy="51367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600013</xdr:colOff>
      <xdr:row>21</xdr:row>
      <xdr:rowOff>1906</xdr:rowOff>
    </xdr:from>
    <xdr:to>
      <xdr:col>6</xdr:col>
      <xdr:colOff>594635</xdr:colOff>
      <xdr:row>23</xdr:row>
      <xdr:rowOff>59042</xdr:rowOff>
    </xdr:to>
    <xdr:sp macro="" textlink="">
      <xdr:nvSpPr>
        <xdr:cNvPr id="65" name="Flowchart: Connector 64">
          <a:extLst>
            <a:ext uri="{FF2B5EF4-FFF2-40B4-BE49-F238E27FC236}">
              <a16:creationId xmlns:a16="http://schemas.microsoft.com/office/drawing/2014/main" id="{140DEB9F-CC3B-4C23-BBE5-CF2D8A955467}"/>
            </a:ext>
          </a:extLst>
        </xdr:cNvPr>
        <xdr:cNvSpPr/>
      </xdr:nvSpPr>
      <xdr:spPr>
        <a:xfrm>
          <a:off x="4867213" y="3842386"/>
          <a:ext cx="604222" cy="422896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Dai</a:t>
          </a:r>
        </a:p>
      </xdr:txBody>
    </xdr:sp>
    <xdr:clientData/>
  </xdr:twoCellAnchor>
  <xdr:twoCellAnchor>
    <xdr:from>
      <xdr:col>7</xdr:col>
      <xdr:colOff>173696</xdr:colOff>
      <xdr:row>16</xdr:row>
      <xdr:rowOff>57390</xdr:rowOff>
    </xdr:from>
    <xdr:to>
      <xdr:col>8</xdr:col>
      <xdr:colOff>228515</xdr:colOff>
      <xdr:row>18</xdr:row>
      <xdr:rowOff>114527</xdr:rowOff>
    </xdr:to>
    <xdr:sp macro="" textlink="">
      <xdr:nvSpPr>
        <xdr:cNvPr id="66" name="Flowchart: Connector 65">
          <a:extLst>
            <a:ext uri="{FF2B5EF4-FFF2-40B4-BE49-F238E27FC236}">
              <a16:creationId xmlns:a16="http://schemas.microsoft.com/office/drawing/2014/main" id="{C58FDFBD-71EB-4F0E-A2D3-87522C600008}"/>
            </a:ext>
          </a:extLst>
        </xdr:cNvPr>
        <xdr:cNvSpPr/>
      </xdr:nvSpPr>
      <xdr:spPr>
        <a:xfrm>
          <a:off x="5660096" y="2983470"/>
          <a:ext cx="664419" cy="422897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Usdc</a:t>
          </a:r>
        </a:p>
      </xdr:txBody>
    </xdr:sp>
    <xdr:clientData/>
  </xdr:twoCellAnchor>
  <xdr:twoCellAnchor>
    <xdr:from>
      <xdr:col>6</xdr:col>
      <xdr:colOff>320702</xdr:colOff>
      <xdr:row>2</xdr:row>
      <xdr:rowOff>77194</xdr:rowOff>
    </xdr:from>
    <xdr:to>
      <xdr:col>7</xdr:col>
      <xdr:colOff>435002</xdr:colOff>
      <xdr:row>4</xdr:row>
      <xdr:rowOff>168633</xdr:rowOff>
    </xdr:to>
    <xdr:sp macro="" textlink="">
      <xdr:nvSpPr>
        <xdr:cNvPr id="67" name="Flowchart: Connector 66">
          <a:extLst>
            <a:ext uri="{FF2B5EF4-FFF2-40B4-BE49-F238E27FC236}">
              <a16:creationId xmlns:a16="http://schemas.microsoft.com/office/drawing/2014/main" id="{5B34BF7C-9D81-49FD-86BF-092A4601D3DA}"/>
            </a:ext>
          </a:extLst>
        </xdr:cNvPr>
        <xdr:cNvSpPr/>
      </xdr:nvSpPr>
      <xdr:spPr>
        <a:xfrm>
          <a:off x="5197502" y="442954"/>
          <a:ext cx="723900" cy="457199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Paras</a:t>
          </a:r>
        </a:p>
      </xdr:txBody>
    </xdr:sp>
    <xdr:clientData/>
  </xdr:twoCellAnchor>
  <xdr:twoCellAnchor>
    <xdr:from>
      <xdr:col>7</xdr:col>
      <xdr:colOff>358140</xdr:colOff>
      <xdr:row>12</xdr:row>
      <xdr:rowOff>45720</xdr:rowOff>
    </xdr:from>
    <xdr:to>
      <xdr:col>7</xdr:col>
      <xdr:colOff>505906</xdr:colOff>
      <xdr:row>16</xdr:row>
      <xdr:rowOff>57390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A9D438C4-1974-4AF8-9E91-1175D2645E54}"/>
            </a:ext>
          </a:extLst>
        </xdr:cNvPr>
        <xdr:cNvCxnSpPr>
          <a:stCxn id="66" idx="0"/>
        </xdr:cNvCxnSpPr>
      </xdr:nvCxnSpPr>
      <xdr:spPr>
        <a:xfrm flipH="1" flipV="1">
          <a:off x="5844540" y="2240280"/>
          <a:ext cx="147766" cy="74319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292524</xdr:colOff>
      <xdr:row>12</xdr:row>
      <xdr:rowOff>46384</xdr:rowOff>
    </xdr:from>
    <xdr:to>
      <xdr:col>7</xdr:col>
      <xdr:colOff>217170</xdr:colOff>
      <xdr:row>21</xdr:row>
      <xdr:rowOff>1906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279284D0-0D99-4A99-A9EE-51D97FFFE5B6}"/>
            </a:ext>
          </a:extLst>
        </xdr:cNvPr>
        <xdr:cNvCxnSpPr>
          <a:stCxn id="65" idx="0"/>
          <a:endCxn id="51" idx="4"/>
        </xdr:cNvCxnSpPr>
      </xdr:nvCxnSpPr>
      <xdr:spPr>
        <a:xfrm flipV="1">
          <a:off x="5169324" y="2240944"/>
          <a:ext cx="534246" cy="160144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73052</xdr:colOff>
      <xdr:row>4</xdr:row>
      <xdr:rowOff>168633</xdr:rowOff>
    </xdr:from>
    <xdr:to>
      <xdr:col>7</xdr:col>
      <xdr:colOff>135720</xdr:colOff>
      <xdr:row>10</xdr:row>
      <xdr:rowOff>72202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96D217D7-608E-4965-884F-0A152F0EFC5D}"/>
            </a:ext>
          </a:extLst>
        </xdr:cNvPr>
        <xdr:cNvCxnSpPr>
          <a:cxnSpLocks/>
          <a:stCxn id="67" idx="4"/>
        </xdr:cNvCxnSpPr>
      </xdr:nvCxnSpPr>
      <xdr:spPr>
        <a:xfrm>
          <a:off x="5559452" y="900153"/>
          <a:ext cx="62668" cy="100084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498053</xdr:colOff>
      <xdr:row>18</xdr:row>
      <xdr:rowOff>19570</xdr:rowOff>
    </xdr:from>
    <xdr:to>
      <xdr:col>9</xdr:col>
      <xdr:colOff>604733</xdr:colOff>
      <xdr:row>20</xdr:row>
      <xdr:rowOff>77880</xdr:rowOff>
    </xdr:to>
    <xdr:sp macro="" textlink="">
      <xdr:nvSpPr>
        <xdr:cNvPr id="71" name="Flowchart: Connector 70">
          <a:extLst>
            <a:ext uri="{FF2B5EF4-FFF2-40B4-BE49-F238E27FC236}">
              <a16:creationId xmlns:a16="http://schemas.microsoft.com/office/drawing/2014/main" id="{C71030B6-0D34-4CD7-AA07-21188103F844}"/>
            </a:ext>
          </a:extLst>
        </xdr:cNvPr>
        <xdr:cNvSpPr/>
      </xdr:nvSpPr>
      <xdr:spPr>
        <a:xfrm>
          <a:off x="6594053" y="3311410"/>
          <a:ext cx="716280" cy="42407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Usdt</a:t>
          </a:r>
        </a:p>
      </xdr:txBody>
    </xdr:sp>
    <xdr:clientData/>
  </xdr:twoCellAnchor>
  <xdr:twoCellAnchor>
    <xdr:from>
      <xdr:col>7</xdr:col>
      <xdr:colOff>505436</xdr:colOff>
      <xdr:row>11</xdr:row>
      <xdr:rowOff>151052</xdr:rowOff>
    </xdr:from>
    <xdr:to>
      <xdr:col>8</xdr:col>
      <xdr:colOff>602950</xdr:colOff>
      <xdr:row>18</xdr:row>
      <xdr:rowOff>81674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DB8566A9-8EBC-4C74-A3BC-E3BABA4E5F68}"/>
            </a:ext>
          </a:extLst>
        </xdr:cNvPr>
        <xdr:cNvCxnSpPr>
          <a:stCxn id="71" idx="1"/>
          <a:endCxn id="51" idx="5"/>
        </xdr:cNvCxnSpPr>
      </xdr:nvCxnSpPr>
      <xdr:spPr>
        <a:xfrm flipH="1" flipV="1">
          <a:off x="5991836" y="2162732"/>
          <a:ext cx="707114" cy="12107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506149</xdr:colOff>
      <xdr:row>18</xdr:row>
      <xdr:rowOff>52595</xdr:rowOff>
    </xdr:from>
    <xdr:to>
      <xdr:col>7</xdr:col>
      <xdr:colOff>270998</xdr:colOff>
      <xdr:row>21</xdr:row>
      <xdr:rowOff>63838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D94BFFE-AFDC-4602-88F8-977BDAF7304D}"/>
            </a:ext>
          </a:extLst>
        </xdr:cNvPr>
        <xdr:cNvCxnSpPr>
          <a:stCxn id="66" idx="3"/>
          <a:endCxn id="65" idx="7"/>
        </xdr:cNvCxnSpPr>
      </xdr:nvCxnSpPr>
      <xdr:spPr>
        <a:xfrm flipH="1">
          <a:off x="5382949" y="3344435"/>
          <a:ext cx="374449" cy="559883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131213</xdr:colOff>
      <xdr:row>18</xdr:row>
      <xdr:rowOff>52595</xdr:rowOff>
    </xdr:from>
    <xdr:to>
      <xdr:col>8</xdr:col>
      <xdr:colOff>498053</xdr:colOff>
      <xdr:row>19</xdr:row>
      <xdr:rowOff>48725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3BE52987-1CBE-4A65-B6E7-AF01608B423A}"/>
            </a:ext>
          </a:extLst>
        </xdr:cNvPr>
        <xdr:cNvCxnSpPr>
          <a:stCxn id="66" idx="5"/>
          <a:endCxn id="71" idx="2"/>
        </xdr:cNvCxnSpPr>
      </xdr:nvCxnSpPr>
      <xdr:spPr>
        <a:xfrm>
          <a:off x="6227213" y="3344435"/>
          <a:ext cx="366840" cy="179010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594635</xdr:colOff>
      <xdr:row>20</xdr:row>
      <xdr:rowOff>15776</xdr:rowOff>
    </xdr:from>
    <xdr:to>
      <xdr:col>8</xdr:col>
      <xdr:colOff>602950</xdr:colOff>
      <xdr:row>22</xdr:row>
      <xdr:rowOff>30474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C075CBE9-9794-4CBD-A483-877D6B2723E2}"/>
            </a:ext>
          </a:extLst>
        </xdr:cNvPr>
        <xdr:cNvCxnSpPr>
          <a:stCxn id="65" idx="6"/>
          <a:endCxn id="71" idx="3"/>
        </xdr:cNvCxnSpPr>
      </xdr:nvCxnSpPr>
      <xdr:spPr>
        <a:xfrm flipV="1">
          <a:off x="5471435" y="3673376"/>
          <a:ext cx="1227515" cy="380458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375453</xdr:colOff>
      <xdr:row>12</xdr:row>
      <xdr:rowOff>179983</xdr:rowOff>
    </xdr:from>
    <xdr:ext cx="248851" cy="444737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E3D79DAD-C358-4608-B549-6F842BB375B2}"/>
            </a:ext>
          </a:extLst>
        </xdr:cNvPr>
        <xdr:cNvSpPr txBox="1"/>
      </xdr:nvSpPr>
      <xdr:spPr>
        <a:xfrm rot="4632557">
          <a:off x="4544710" y="2472486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5570</a:t>
          </a:r>
        </a:p>
      </xdr:txBody>
    </xdr:sp>
    <xdr:clientData/>
  </xdr:oneCellAnchor>
  <xdr:oneCellAnchor>
    <xdr:from>
      <xdr:col>6</xdr:col>
      <xdr:colOff>379095</xdr:colOff>
      <xdr:row>15</xdr:row>
      <xdr:rowOff>81317</xdr:rowOff>
    </xdr:from>
    <xdr:ext cx="248851" cy="314702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3E5C94DC-9895-4881-AA3F-DDEA28A0CF01}"/>
            </a:ext>
          </a:extLst>
        </xdr:cNvPr>
        <xdr:cNvSpPr txBox="1"/>
      </xdr:nvSpPr>
      <xdr:spPr>
        <a:xfrm rot="17285265">
          <a:off x="4003770" y="2857442"/>
          <a:ext cx="31470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95</a:t>
          </a:r>
        </a:p>
      </xdr:txBody>
    </xdr:sp>
    <xdr:clientData/>
  </xdr:oneCellAnchor>
  <xdr:oneCellAnchor>
    <xdr:from>
      <xdr:col>8</xdr:col>
      <xdr:colOff>542296</xdr:colOff>
      <xdr:row>12</xdr:row>
      <xdr:rowOff>154791</xdr:rowOff>
    </xdr:from>
    <xdr:ext cx="379719" cy="248851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59E8CD3-34EC-4A18-B688-464F03F858A2}"/>
            </a:ext>
          </a:extLst>
        </xdr:cNvPr>
        <xdr:cNvSpPr txBox="1"/>
      </xdr:nvSpPr>
      <xdr:spPr>
        <a:xfrm rot="1899419">
          <a:off x="5419096" y="2349351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912</a:t>
          </a:r>
        </a:p>
      </xdr:txBody>
    </xdr:sp>
    <xdr:clientData/>
  </xdr:oneCellAnchor>
  <xdr:oneCellAnchor>
    <xdr:from>
      <xdr:col>11</xdr:col>
      <xdr:colOff>15793</xdr:colOff>
      <xdr:row>8</xdr:row>
      <xdr:rowOff>139976</xdr:rowOff>
    </xdr:from>
    <xdr:ext cx="248851" cy="379719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8247F6CA-8FD2-49E8-87E0-000F0CD4CE18}"/>
            </a:ext>
          </a:extLst>
        </xdr:cNvPr>
        <xdr:cNvSpPr txBox="1"/>
      </xdr:nvSpPr>
      <xdr:spPr>
        <a:xfrm rot="5232674">
          <a:off x="6655959" y="1668450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444</a:t>
          </a:r>
        </a:p>
      </xdr:txBody>
    </xdr:sp>
    <xdr:clientData/>
  </xdr:oneCellAnchor>
  <xdr:oneCellAnchor>
    <xdr:from>
      <xdr:col>9</xdr:col>
      <xdr:colOff>92145</xdr:colOff>
      <xdr:row>10</xdr:row>
      <xdr:rowOff>72887</xdr:rowOff>
    </xdr:from>
    <xdr:ext cx="379719" cy="248851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3E97EE6B-797D-4D45-98D0-86DC286B008D}"/>
            </a:ext>
          </a:extLst>
        </xdr:cNvPr>
        <xdr:cNvSpPr txBox="1"/>
      </xdr:nvSpPr>
      <xdr:spPr>
        <a:xfrm rot="435186">
          <a:off x="5578545" y="1901687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280</a:t>
          </a:r>
        </a:p>
      </xdr:txBody>
    </xdr:sp>
    <xdr:clientData/>
  </xdr:oneCellAnchor>
  <xdr:oneCellAnchor>
    <xdr:from>
      <xdr:col>9</xdr:col>
      <xdr:colOff>453320</xdr:colOff>
      <xdr:row>3</xdr:row>
      <xdr:rowOff>152401</xdr:rowOff>
    </xdr:from>
    <xdr:ext cx="379719" cy="248851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4DBE07D2-40F9-44C7-B3F1-E795C538A957}"/>
            </a:ext>
          </a:extLst>
        </xdr:cNvPr>
        <xdr:cNvSpPr txBox="1"/>
      </xdr:nvSpPr>
      <xdr:spPr>
        <a:xfrm rot="1162856">
          <a:off x="5939720" y="701041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130</a:t>
          </a:r>
        </a:p>
      </xdr:txBody>
    </xdr:sp>
    <xdr:clientData/>
  </xdr:oneCellAnchor>
  <xdr:oneCellAnchor>
    <xdr:from>
      <xdr:col>9</xdr:col>
      <xdr:colOff>337930</xdr:colOff>
      <xdr:row>5</xdr:row>
      <xdr:rowOff>46382</xdr:rowOff>
    </xdr:from>
    <xdr:ext cx="379719" cy="248851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B559CF2-44CC-438C-905D-3A5CD7E11987}"/>
            </a:ext>
          </a:extLst>
        </xdr:cNvPr>
        <xdr:cNvSpPr txBox="1"/>
      </xdr:nvSpPr>
      <xdr:spPr>
        <a:xfrm>
          <a:off x="5824330" y="960782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382</a:t>
          </a:r>
        </a:p>
      </xdr:txBody>
    </xdr:sp>
    <xdr:clientData/>
  </xdr:oneCellAnchor>
  <xdr:oneCellAnchor>
    <xdr:from>
      <xdr:col>7</xdr:col>
      <xdr:colOff>512955</xdr:colOff>
      <xdr:row>7</xdr:row>
      <xdr:rowOff>72887</xdr:rowOff>
    </xdr:from>
    <xdr:ext cx="379719" cy="248851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2423DB37-1D66-4944-A7D8-FD048E154670}"/>
            </a:ext>
          </a:extLst>
        </xdr:cNvPr>
        <xdr:cNvSpPr txBox="1"/>
      </xdr:nvSpPr>
      <xdr:spPr>
        <a:xfrm rot="18987477">
          <a:off x="4780155" y="1353047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891</a:t>
          </a:r>
        </a:p>
      </xdr:txBody>
    </xdr:sp>
    <xdr:clientData/>
  </xdr:oneCellAnchor>
  <xdr:oneCellAnchor>
    <xdr:from>
      <xdr:col>7</xdr:col>
      <xdr:colOff>50398</xdr:colOff>
      <xdr:row>6</xdr:row>
      <xdr:rowOff>55619</xdr:rowOff>
    </xdr:from>
    <xdr:ext cx="248851" cy="379719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E570596-3C0F-453E-9695-0F7578223467}"/>
            </a:ext>
          </a:extLst>
        </xdr:cNvPr>
        <xdr:cNvSpPr txBox="1"/>
      </xdr:nvSpPr>
      <xdr:spPr>
        <a:xfrm rot="5159460">
          <a:off x="4252164" y="1218333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159</a:t>
          </a:r>
        </a:p>
      </xdr:txBody>
    </xdr:sp>
    <xdr:clientData/>
  </xdr:oneCellAnchor>
  <xdr:oneCellAnchor>
    <xdr:from>
      <xdr:col>7</xdr:col>
      <xdr:colOff>419364</xdr:colOff>
      <xdr:row>5</xdr:row>
      <xdr:rowOff>153847</xdr:rowOff>
    </xdr:from>
    <xdr:ext cx="248851" cy="444737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5958DE2A-CC72-4E26-86EF-C080B4DD67DC}"/>
            </a:ext>
          </a:extLst>
        </xdr:cNvPr>
        <xdr:cNvSpPr txBox="1"/>
      </xdr:nvSpPr>
      <xdr:spPr>
        <a:xfrm rot="17499909">
          <a:off x="4588621" y="1166190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1940</a:t>
          </a:r>
        </a:p>
      </xdr:txBody>
    </xdr:sp>
    <xdr:clientData/>
  </xdr:oneCellAnchor>
  <xdr:oneCellAnchor>
    <xdr:from>
      <xdr:col>8</xdr:col>
      <xdr:colOff>447316</xdr:colOff>
      <xdr:row>7</xdr:row>
      <xdr:rowOff>152401</xdr:rowOff>
    </xdr:from>
    <xdr:ext cx="444737" cy="248851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5A85B451-73A1-4212-B1E2-873C1AD740EF}"/>
            </a:ext>
          </a:extLst>
        </xdr:cNvPr>
        <xdr:cNvSpPr txBox="1"/>
      </xdr:nvSpPr>
      <xdr:spPr>
        <a:xfrm rot="20479066">
          <a:off x="5324116" y="1432561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2440</a:t>
          </a:r>
        </a:p>
      </xdr:txBody>
    </xdr:sp>
    <xdr:clientData/>
  </xdr:oneCellAnchor>
  <xdr:oneCellAnchor>
    <xdr:from>
      <xdr:col>10</xdr:col>
      <xdr:colOff>452491</xdr:colOff>
      <xdr:row>13</xdr:row>
      <xdr:rowOff>153229</xdr:rowOff>
    </xdr:from>
    <xdr:ext cx="248851" cy="379719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2EE48020-BEC5-4A5C-9D54-E1882C328FD9}"/>
            </a:ext>
          </a:extLst>
        </xdr:cNvPr>
        <xdr:cNvSpPr txBox="1"/>
      </xdr:nvSpPr>
      <xdr:spPr>
        <a:xfrm rot="16460302">
          <a:off x="6483057" y="2596103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645</a:t>
          </a:r>
        </a:p>
      </xdr:txBody>
    </xdr:sp>
    <xdr:clientData/>
  </xdr:oneCellAnchor>
  <xdr:oneCellAnchor>
    <xdr:from>
      <xdr:col>8</xdr:col>
      <xdr:colOff>236867</xdr:colOff>
      <xdr:row>13</xdr:row>
      <xdr:rowOff>156058</xdr:rowOff>
    </xdr:from>
    <xdr:ext cx="248851" cy="50975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4D615699-7E20-4C30-ABBE-0C340132307C}"/>
            </a:ext>
          </a:extLst>
        </xdr:cNvPr>
        <xdr:cNvSpPr txBox="1"/>
      </xdr:nvSpPr>
      <xdr:spPr>
        <a:xfrm rot="3689328">
          <a:off x="4983215" y="2663950"/>
          <a:ext cx="50975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10000</a:t>
          </a:r>
        </a:p>
      </xdr:txBody>
    </xdr:sp>
    <xdr:clientData/>
  </xdr:oneCellAnchor>
  <xdr:twoCellAnchor>
    <xdr:from>
      <xdr:col>11</xdr:col>
      <xdr:colOff>8116</xdr:colOff>
      <xdr:row>12</xdr:row>
      <xdr:rowOff>168950</xdr:rowOff>
    </xdr:from>
    <xdr:to>
      <xdr:col>11</xdr:col>
      <xdr:colOff>56512</xdr:colOff>
      <xdr:row>16</xdr:row>
      <xdr:rowOff>111292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C5C9EACD-F5EA-4548-BEFD-BF1B3810EFB7}"/>
            </a:ext>
          </a:extLst>
        </xdr:cNvPr>
        <xdr:cNvCxnSpPr>
          <a:stCxn id="52" idx="3"/>
          <a:endCxn id="55" idx="0"/>
        </xdr:cNvCxnSpPr>
      </xdr:nvCxnSpPr>
      <xdr:spPr>
        <a:xfrm flipH="1">
          <a:off x="7932916" y="2363510"/>
          <a:ext cx="48396" cy="6738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t.me/gateavaxpng" TargetMode="External"/><Relationship Id="rId3" Type="http://schemas.openxmlformats.org/officeDocument/2006/relationships/hyperlink" Target="https://t.me/mexccelosol" TargetMode="External"/><Relationship Id="rId7" Type="http://schemas.openxmlformats.org/officeDocument/2006/relationships/hyperlink" Target="https://t.me/botavaxftx" TargetMode="External"/><Relationship Id="rId12" Type="http://schemas.openxmlformats.org/officeDocument/2006/relationships/hyperlink" Target="https://t.me/botbscbnbcake" TargetMode="External"/><Relationship Id="rId2" Type="http://schemas.openxmlformats.org/officeDocument/2006/relationships/hyperlink" Target="https://t.me/teambottrade" TargetMode="External"/><Relationship Id="rId1" Type="http://schemas.openxmlformats.org/officeDocument/2006/relationships/hyperlink" Target="https://t.me/binancedifd" TargetMode="External"/><Relationship Id="rId6" Type="http://schemas.openxmlformats.org/officeDocument/2006/relationships/hyperlink" Target="https://t.me/botavaxmexc" TargetMode="External"/><Relationship Id="rId11" Type="http://schemas.openxmlformats.org/officeDocument/2006/relationships/hyperlink" Target="https://t.me/botnear" TargetMode="External"/><Relationship Id="rId5" Type="http://schemas.openxmlformats.org/officeDocument/2006/relationships/hyperlink" Target="https://t.me/BotMxc_Nearref" TargetMode="External"/><Relationship Id="rId10" Type="http://schemas.openxmlformats.org/officeDocument/2006/relationships/hyperlink" Target="https://t.me/near_paras" TargetMode="External"/><Relationship Id="rId4" Type="http://schemas.openxmlformats.org/officeDocument/2006/relationships/hyperlink" Target="https://t.me/botgate_Near_Ref_Oct" TargetMode="External"/><Relationship Id="rId9" Type="http://schemas.openxmlformats.org/officeDocument/2006/relationships/hyperlink" Target="https://t.me/botavaxbinanc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28A1E-7068-44D3-9ACB-397FD846BE8A}">
  <dimension ref="A1:Q16"/>
  <sheetViews>
    <sheetView workbookViewId="0">
      <selection activeCell="M11" sqref="M11"/>
    </sheetView>
  </sheetViews>
  <sheetFormatPr defaultRowHeight="14.4"/>
  <cols>
    <col min="2" max="2" width="15.33203125" style="61" customWidth="1"/>
    <col min="3" max="7" width="8.88671875" style="61"/>
    <col min="8" max="8" width="11.44140625" style="61" customWidth="1"/>
    <col min="9" max="9" width="0.5546875" style="64" customWidth="1"/>
    <col min="10" max="10" width="14.88671875" style="61" customWidth="1"/>
    <col min="11" max="15" width="8.88671875" style="61"/>
    <col min="16" max="16" width="16.33203125" customWidth="1"/>
  </cols>
  <sheetData>
    <row r="1" spans="1:17" ht="18">
      <c r="A1" s="95" t="s">
        <v>375</v>
      </c>
      <c r="B1" s="95"/>
      <c r="C1" s="95"/>
      <c r="D1" s="95"/>
      <c r="E1" s="95"/>
      <c r="F1" s="95"/>
      <c r="G1" s="95"/>
      <c r="H1" s="96"/>
      <c r="I1" s="63"/>
      <c r="J1" s="97" t="s">
        <v>376</v>
      </c>
      <c r="K1" s="97"/>
      <c r="L1" s="97"/>
      <c r="M1" s="97"/>
      <c r="N1" s="97"/>
      <c r="O1" s="97"/>
      <c r="P1" s="60"/>
    </row>
    <row r="2" spans="1:17">
      <c r="A2" s="67" t="s">
        <v>381</v>
      </c>
      <c r="B2" s="67" t="s">
        <v>378</v>
      </c>
      <c r="C2" s="67" t="s">
        <v>0</v>
      </c>
      <c r="D2" s="67" t="s">
        <v>358</v>
      </c>
      <c r="E2" s="67" t="s">
        <v>361</v>
      </c>
      <c r="F2" s="67" t="s">
        <v>360</v>
      </c>
      <c r="G2" s="67" t="s">
        <v>362</v>
      </c>
      <c r="H2" s="67" t="s">
        <v>359</v>
      </c>
      <c r="J2" s="69"/>
      <c r="K2" s="87" t="s">
        <v>371</v>
      </c>
      <c r="L2" s="87" t="s">
        <v>372</v>
      </c>
      <c r="M2" s="87" t="s">
        <v>373</v>
      </c>
      <c r="N2" s="87" t="s">
        <v>374</v>
      </c>
      <c r="O2" s="87" t="s">
        <v>359</v>
      </c>
      <c r="P2" s="88" t="s">
        <v>414</v>
      </c>
      <c r="Q2" s="86"/>
    </row>
    <row r="3" spans="1:17">
      <c r="A3" s="99" t="s">
        <v>379</v>
      </c>
      <c r="B3" s="65" t="s">
        <v>357</v>
      </c>
      <c r="C3" s="65">
        <v>700</v>
      </c>
      <c r="D3" s="65">
        <v>4000</v>
      </c>
      <c r="E3" s="65"/>
      <c r="F3" s="65"/>
      <c r="G3" s="65"/>
      <c r="H3" s="65">
        <v>30</v>
      </c>
      <c r="J3" s="90" t="s">
        <v>368</v>
      </c>
      <c r="K3" s="62">
        <v>102</v>
      </c>
      <c r="L3" s="62"/>
      <c r="M3" s="62">
        <v>10000</v>
      </c>
      <c r="N3" s="62">
        <v>170000</v>
      </c>
      <c r="O3" s="62">
        <v>3500</v>
      </c>
      <c r="P3" s="82"/>
    </row>
    <row r="4" spans="1:17">
      <c r="A4" s="99"/>
      <c r="B4" s="65" t="s">
        <v>363</v>
      </c>
      <c r="C4" s="65">
        <v>700</v>
      </c>
      <c r="D4" s="65">
        <v>4000</v>
      </c>
      <c r="E4" s="65"/>
      <c r="F4" s="65"/>
      <c r="G4" s="65"/>
      <c r="H4" s="65">
        <v>50</v>
      </c>
      <c r="J4" s="90" t="s">
        <v>369</v>
      </c>
      <c r="K4" s="62">
        <v>142</v>
      </c>
      <c r="L4" s="62">
        <v>35000</v>
      </c>
      <c r="M4" s="62">
        <v>6500</v>
      </c>
      <c r="N4" s="62">
        <v>100000</v>
      </c>
      <c r="O4" s="62">
        <v>1000</v>
      </c>
      <c r="P4" s="82"/>
    </row>
    <row r="5" spans="1:17">
      <c r="A5" s="99"/>
      <c r="B5" s="65" t="s">
        <v>364</v>
      </c>
      <c r="C5" s="65">
        <v>700</v>
      </c>
      <c r="D5" s="65">
        <v>4000</v>
      </c>
      <c r="E5" s="65"/>
      <c r="F5" s="65"/>
      <c r="G5" s="65"/>
      <c r="H5" s="65">
        <v>30</v>
      </c>
      <c r="J5" s="90" t="s">
        <v>370</v>
      </c>
      <c r="K5" s="62" t="s">
        <v>443</v>
      </c>
      <c r="L5" s="62">
        <v>35000</v>
      </c>
      <c r="M5" s="62"/>
      <c r="N5" s="62">
        <v>120000</v>
      </c>
      <c r="O5" s="62">
        <v>2000</v>
      </c>
      <c r="P5" s="82"/>
    </row>
    <row r="6" spans="1:17">
      <c r="A6" s="99"/>
      <c r="B6" s="65" t="s">
        <v>365</v>
      </c>
      <c r="C6" s="65">
        <v>780</v>
      </c>
      <c r="D6" s="65"/>
      <c r="E6" s="65">
        <v>6000</v>
      </c>
      <c r="F6" s="65">
        <v>6000</v>
      </c>
      <c r="G6" s="65"/>
      <c r="H6" s="65">
        <v>1000</v>
      </c>
      <c r="J6" s="90" t="s">
        <v>415</v>
      </c>
      <c r="K6" s="62">
        <v>101</v>
      </c>
      <c r="L6" s="62"/>
      <c r="M6" s="62">
        <v>8000</v>
      </c>
      <c r="N6" s="62">
        <v>128000</v>
      </c>
      <c r="O6" s="62">
        <v>4000</v>
      </c>
      <c r="P6" s="89"/>
    </row>
    <row r="7" spans="1:17">
      <c r="A7" s="99"/>
      <c r="B7" s="65" t="s">
        <v>366</v>
      </c>
      <c r="C7" s="65">
        <v>780</v>
      </c>
      <c r="D7" s="65"/>
      <c r="E7" s="65">
        <v>6000</v>
      </c>
      <c r="F7" s="65">
        <v>6000</v>
      </c>
      <c r="G7" s="65"/>
      <c r="H7" s="65">
        <v>1000</v>
      </c>
    </row>
    <row r="8" spans="1:17">
      <c r="A8" s="99"/>
      <c r="B8" s="65" t="s">
        <v>367</v>
      </c>
      <c r="C8" s="65">
        <v>600</v>
      </c>
      <c r="D8" s="65"/>
      <c r="E8" s="65"/>
      <c r="F8" s="65"/>
      <c r="G8" s="65">
        <v>50000</v>
      </c>
      <c r="H8" s="65">
        <v>30</v>
      </c>
    </row>
    <row r="9" spans="1:17">
      <c r="A9" s="66"/>
      <c r="B9" s="62"/>
      <c r="C9" s="62"/>
      <c r="D9" s="62"/>
      <c r="E9" s="62"/>
      <c r="F9" s="62"/>
      <c r="G9" s="62"/>
      <c r="H9" s="62"/>
    </row>
    <row r="10" spans="1:17">
      <c r="A10" s="98" t="s">
        <v>380</v>
      </c>
      <c r="B10" s="68" t="s">
        <v>378</v>
      </c>
      <c r="C10" s="68" t="s">
        <v>0</v>
      </c>
      <c r="D10" s="68" t="s">
        <v>358</v>
      </c>
      <c r="E10" s="68" t="s">
        <v>361</v>
      </c>
      <c r="F10" s="68" t="s">
        <v>360</v>
      </c>
      <c r="G10" s="68" t="s">
        <v>362</v>
      </c>
      <c r="H10" s="68" t="s">
        <v>359</v>
      </c>
    </row>
    <row r="11" spans="1:17">
      <c r="A11" s="98"/>
      <c r="B11" s="65" t="s">
        <v>357</v>
      </c>
      <c r="C11" s="65">
        <v>527</v>
      </c>
      <c r="D11" s="65">
        <v>4000</v>
      </c>
      <c r="E11" s="65"/>
      <c r="F11" s="65"/>
      <c r="G11" s="65"/>
      <c r="H11" s="65">
        <v>1000</v>
      </c>
    </row>
    <row r="12" spans="1:17">
      <c r="A12" s="98"/>
      <c r="B12" s="65" t="s">
        <v>363</v>
      </c>
      <c r="C12" s="65">
        <v>530</v>
      </c>
      <c r="D12" s="65">
        <v>4000</v>
      </c>
      <c r="E12" s="65"/>
      <c r="F12" s="65"/>
      <c r="G12" s="65"/>
      <c r="H12" s="65">
        <v>1000</v>
      </c>
    </row>
    <row r="13" spans="1:17">
      <c r="A13" s="98"/>
      <c r="B13" s="65" t="s">
        <v>364</v>
      </c>
      <c r="C13" s="65">
        <v>528</v>
      </c>
      <c r="D13" s="65">
        <v>4000</v>
      </c>
      <c r="E13" s="65"/>
      <c r="F13" s="65"/>
      <c r="G13" s="65"/>
      <c r="H13" s="65">
        <v>1000</v>
      </c>
    </row>
    <row r="14" spans="1:17">
      <c r="A14" s="98"/>
      <c r="B14" s="65" t="s">
        <v>365</v>
      </c>
      <c r="C14" s="65">
        <v>602</v>
      </c>
      <c r="D14" s="65"/>
      <c r="E14" s="65">
        <v>6000</v>
      </c>
      <c r="F14" s="65">
        <v>6000</v>
      </c>
      <c r="G14" s="65"/>
      <c r="H14" s="65">
        <v>2000</v>
      </c>
    </row>
    <row r="15" spans="1:17">
      <c r="A15" s="98"/>
      <c r="B15" s="65" t="s">
        <v>366</v>
      </c>
      <c r="C15" s="65">
        <v>602</v>
      </c>
      <c r="D15" s="65"/>
      <c r="E15" s="65">
        <v>6000</v>
      </c>
      <c r="F15" s="65">
        <v>6000</v>
      </c>
      <c r="G15" s="65"/>
      <c r="H15" s="65">
        <v>2000</v>
      </c>
    </row>
    <row r="16" spans="1:17">
      <c r="A16" s="98"/>
      <c r="B16" s="65" t="s">
        <v>367</v>
      </c>
      <c r="C16" s="65">
        <v>428</v>
      </c>
      <c r="D16" s="65"/>
      <c r="E16" s="65"/>
      <c r="F16" s="65"/>
      <c r="G16" s="65">
        <v>50000</v>
      </c>
      <c r="H16" s="65">
        <v>1000</v>
      </c>
    </row>
  </sheetData>
  <mergeCells count="4">
    <mergeCell ref="A1:H1"/>
    <mergeCell ref="J1:O1"/>
    <mergeCell ref="A10:A16"/>
    <mergeCell ref="A3:A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73E7-3753-4392-AA1C-C52A4E8F6F4A}">
  <dimension ref="A1:F17"/>
  <sheetViews>
    <sheetView workbookViewId="0">
      <selection activeCell="G10" sqref="G10"/>
    </sheetView>
  </sheetViews>
  <sheetFormatPr defaultRowHeight="14.4"/>
  <cols>
    <col min="1" max="1" width="11.21875" customWidth="1"/>
    <col min="2" max="2" width="17.77734375" customWidth="1"/>
    <col min="3" max="3" width="10" customWidth="1"/>
    <col min="4" max="4" width="9" customWidth="1"/>
    <col min="5" max="5" width="9.77734375" customWidth="1"/>
  </cols>
  <sheetData>
    <row r="1" spans="1:6">
      <c r="A1" s="100" t="s">
        <v>392</v>
      </c>
      <c r="B1" s="100"/>
      <c r="C1" s="100"/>
      <c r="D1" s="100"/>
      <c r="E1" s="100"/>
    </row>
    <row r="2" spans="1:6" ht="27" customHeight="1">
      <c r="A2" s="78" t="s">
        <v>390</v>
      </c>
      <c r="B2" s="78" t="s">
        <v>387</v>
      </c>
      <c r="C2" s="78" t="s">
        <v>388</v>
      </c>
      <c r="D2" s="78" t="s">
        <v>389</v>
      </c>
      <c r="E2" s="78" t="s">
        <v>385</v>
      </c>
    </row>
    <row r="3" spans="1:6" ht="18" customHeight="1">
      <c r="A3" s="75" t="s">
        <v>60</v>
      </c>
      <c r="B3" s="70" t="s">
        <v>38</v>
      </c>
      <c r="C3" s="74">
        <f>VLOOKUP($B3,'Quản lý ví Near'!$C$3:$G$36,5,FALSE)</f>
        <v>651.67999999999995</v>
      </c>
      <c r="D3" s="65">
        <f>C3/2</f>
        <v>325.83999999999997</v>
      </c>
      <c r="E3" s="65" t="s">
        <v>386</v>
      </c>
      <c r="F3" s="72"/>
    </row>
    <row r="4" spans="1:6" ht="18" customHeight="1">
      <c r="A4" s="75" t="s">
        <v>2</v>
      </c>
      <c r="B4" s="71" t="s">
        <v>23</v>
      </c>
      <c r="C4" s="74">
        <f>VLOOKUP($B4,'Quản lý ví Near'!$C$3:$G$36,5,FALSE)</f>
        <v>2863.49</v>
      </c>
      <c r="D4" s="65">
        <f t="shared" ref="D4:D14" si="0">C4/2</f>
        <v>1431.7449999999999</v>
      </c>
      <c r="E4" s="65" t="s">
        <v>386</v>
      </c>
      <c r="F4" s="72">
        <f>2000-D4</f>
        <v>568.25500000000011</v>
      </c>
    </row>
    <row r="5" spans="1:6" ht="18" customHeight="1">
      <c r="A5" s="75" t="s">
        <v>1</v>
      </c>
      <c r="B5" s="71" t="s">
        <v>24</v>
      </c>
      <c r="C5" s="74">
        <f>VLOOKUP($B5,'Quản lý ví Near'!$C$3:$G$36,5,FALSE)</f>
        <v>2549.4699999999998</v>
      </c>
      <c r="D5" s="65">
        <f t="shared" si="0"/>
        <v>1274.7349999999999</v>
      </c>
      <c r="E5" s="65" t="s">
        <v>386</v>
      </c>
      <c r="F5" s="72"/>
    </row>
    <row r="6" spans="1:6" ht="18" customHeight="1">
      <c r="A6" s="75" t="s">
        <v>6</v>
      </c>
      <c r="B6" s="71" t="s">
        <v>29</v>
      </c>
      <c r="C6" s="74">
        <f>VLOOKUP($B6,'Quản lý ví Near'!$C$3:$G$36,5,FALSE)</f>
        <v>499.17</v>
      </c>
      <c r="D6" s="65">
        <f t="shared" si="0"/>
        <v>249.58500000000001</v>
      </c>
      <c r="E6" s="65" t="s">
        <v>386</v>
      </c>
      <c r="F6" s="72"/>
    </row>
    <row r="7" spans="1:6" ht="18" customHeight="1">
      <c r="A7" s="75" t="s">
        <v>7</v>
      </c>
      <c r="B7" s="71" t="s">
        <v>30</v>
      </c>
      <c r="C7" s="74">
        <f>VLOOKUP($B7,'Quản lý ví Near'!$C$3:$G$36,5,FALSE)</f>
        <v>879.59</v>
      </c>
      <c r="D7" s="65">
        <f t="shared" si="0"/>
        <v>439.79500000000002</v>
      </c>
      <c r="E7" s="65" t="s">
        <v>386</v>
      </c>
      <c r="F7" s="72"/>
    </row>
    <row r="8" spans="1:6" ht="18" customHeight="1">
      <c r="A8" s="75" t="s">
        <v>3</v>
      </c>
      <c r="B8" s="71" t="s">
        <v>27</v>
      </c>
      <c r="C8" s="74">
        <f>VLOOKUP($B8,'Quản lý ví Near'!$C$3:$G$36,5,FALSE)</f>
        <v>898.26</v>
      </c>
      <c r="D8" s="65">
        <f t="shared" si="0"/>
        <v>449.13</v>
      </c>
      <c r="E8" s="65" t="s">
        <v>386</v>
      </c>
      <c r="F8" s="72"/>
    </row>
    <row r="9" spans="1:6" ht="18" customHeight="1">
      <c r="A9" s="75" t="s">
        <v>4</v>
      </c>
      <c r="B9" s="71" t="s">
        <v>28</v>
      </c>
      <c r="C9" s="74">
        <f>VLOOKUP($B9,'Quản lý ví Near'!$C$3:$G$36,5,FALSE)</f>
        <v>671.44</v>
      </c>
      <c r="D9" s="65">
        <f t="shared" si="0"/>
        <v>335.72</v>
      </c>
      <c r="E9" s="65" t="s">
        <v>386</v>
      </c>
      <c r="F9" s="72"/>
    </row>
    <row r="10" spans="1:6" ht="18" customHeight="1">
      <c r="A10" s="75" t="s">
        <v>8</v>
      </c>
      <c r="B10" s="71" t="s">
        <v>31</v>
      </c>
      <c r="C10" s="74">
        <f>VLOOKUP($B10,'Quản lý ví Near'!$C$3:$G$36,5,FALSE)</f>
        <v>356.23</v>
      </c>
      <c r="D10" s="65">
        <f t="shared" si="0"/>
        <v>178.11500000000001</v>
      </c>
      <c r="E10" s="65" t="s">
        <v>386</v>
      </c>
      <c r="F10" s="72"/>
    </row>
    <row r="11" spans="1:6" ht="18" customHeight="1">
      <c r="A11" s="75" t="s">
        <v>391</v>
      </c>
      <c r="B11" s="71" t="s">
        <v>33</v>
      </c>
      <c r="C11" s="74">
        <f>VLOOKUP($B11,'Quản lý ví Near'!$C$3:$G$36,5,FALSE)</f>
        <v>260.25</v>
      </c>
      <c r="D11" s="65">
        <f t="shared" si="0"/>
        <v>130.125</v>
      </c>
      <c r="E11" s="65" t="s">
        <v>386</v>
      </c>
      <c r="F11" s="72"/>
    </row>
    <row r="12" spans="1:6" ht="18" customHeight="1">
      <c r="A12" s="75" t="s">
        <v>34</v>
      </c>
      <c r="B12" s="71" t="s">
        <v>35</v>
      </c>
      <c r="C12" s="74">
        <f>VLOOKUP($B12,'Quản lý ví Near'!$C$3:$G$36,5,FALSE)</f>
        <v>271.61</v>
      </c>
      <c r="D12" s="65">
        <f t="shared" si="0"/>
        <v>135.80500000000001</v>
      </c>
      <c r="E12" s="65" t="s">
        <v>386</v>
      </c>
      <c r="F12" s="72"/>
    </row>
    <row r="13" spans="1:6" ht="18" customHeight="1">
      <c r="A13" s="76" t="s">
        <v>69</v>
      </c>
      <c r="B13" s="73" t="s">
        <v>70</v>
      </c>
      <c r="C13" s="74">
        <f>VLOOKUP($B13,'Quản lý ví Near'!$C$3:$G$36,5,FALSE)</f>
        <v>631.16999999999996</v>
      </c>
      <c r="D13" s="65">
        <f t="shared" si="0"/>
        <v>315.58499999999998</v>
      </c>
      <c r="E13" s="65" t="s">
        <v>386</v>
      </c>
      <c r="F13" s="72"/>
    </row>
    <row r="14" spans="1:6" ht="18" customHeight="1">
      <c r="A14" s="76" t="s">
        <v>71</v>
      </c>
      <c r="B14" s="73" t="s">
        <v>72</v>
      </c>
      <c r="C14" s="74">
        <f>VLOOKUP($B14,'Quản lý ví Near'!$C$3:$G$36,5,FALSE)</f>
        <v>482.2</v>
      </c>
      <c r="D14" s="65">
        <f t="shared" si="0"/>
        <v>241.1</v>
      </c>
      <c r="E14" s="65" t="s">
        <v>386</v>
      </c>
      <c r="F14" s="72"/>
    </row>
    <row r="15" spans="1:6">
      <c r="D15" s="72"/>
    </row>
    <row r="16" spans="1:6" ht="33.6" customHeight="1">
      <c r="A16" s="101" t="s">
        <v>393</v>
      </c>
      <c r="B16" s="77" t="s">
        <v>382</v>
      </c>
      <c r="C16" s="77" t="s">
        <v>383</v>
      </c>
      <c r="D16" s="77" t="s">
        <v>384</v>
      </c>
    </row>
    <row r="17" spans="1:4">
      <c r="A17" s="101"/>
      <c r="B17" s="62">
        <v>5357</v>
      </c>
      <c r="C17" s="62">
        <f>SUM(D3:D14)</f>
        <v>5507.2800000000007</v>
      </c>
      <c r="D17" s="62">
        <f>B17-C17</f>
        <v>-150.28000000000065</v>
      </c>
    </row>
  </sheetData>
  <mergeCells count="2">
    <mergeCell ref="A1:E1"/>
    <mergeCell ref="A16:A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8AA1-D1EA-45A9-9302-9121DF5F6A14}">
  <sheetPr codeName="Sheet2"/>
  <dimension ref="A1:AH26"/>
  <sheetViews>
    <sheetView tabSelected="1" zoomScale="115" zoomScaleNormal="115" workbookViewId="0">
      <pane xSplit="4" ySplit="5" topLeftCell="AC6" activePane="bottomRight" state="frozen"/>
      <selection pane="topRight" activeCell="D1" sqref="D1"/>
      <selection pane="bottomLeft" activeCell="A5" sqref="A5"/>
      <selection pane="bottomRight" activeCell="AF16" sqref="AF16"/>
    </sheetView>
  </sheetViews>
  <sheetFormatPr defaultRowHeight="14.4"/>
  <cols>
    <col min="1" max="1" width="10.5546875" style="1" customWidth="1"/>
    <col min="2" max="2" width="18.109375" style="1" customWidth="1"/>
    <col min="3" max="3" width="8.33203125" style="1" customWidth="1"/>
    <col min="4" max="4" width="9.33203125" style="1" customWidth="1"/>
    <col min="5" max="5" width="8.88671875" style="1"/>
    <col min="6" max="6" width="11.44140625" style="1" bestFit="1" customWidth="1"/>
    <col min="7" max="7" width="11.44140625" style="1" customWidth="1"/>
    <col min="8" max="8" width="10.77734375" style="1" customWidth="1"/>
    <col min="9" max="9" width="8.88671875" style="1"/>
    <col min="10" max="10" width="12" style="1" bestFit="1" customWidth="1"/>
    <col min="11" max="16384" width="8.88671875" style="1"/>
  </cols>
  <sheetData>
    <row r="1" spans="1:34" s="4" customFormat="1" ht="18">
      <c r="B1" s="104" t="s">
        <v>10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34" s="4" customFormat="1" ht="16.2" customHeight="1">
      <c r="B2" s="105" t="s">
        <v>9</v>
      </c>
      <c r="C2" s="34" t="s">
        <v>63</v>
      </c>
      <c r="D2" s="34"/>
      <c r="E2" s="102">
        <v>1</v>
      </c>
      <c r="F2" s="103"/>
      <c r="G2" s="102">
        <v>2</v>
      </c>
      <c r="H2" s="103"/>
      <c r="I2" s="102">
        <v>3</v>
      </c>
      <c r="J2" s="103"/>
      <c r="K2" s="102">
        <v>4</v>
      </c>
      <c r="L2" s="103"/>
      <c r="M2" s="102">
        <v>5</v>
      </c>
      <c r="N2" s="103"/>
      <c r="O2" s="102">
        <v>6</v>
      </c>
      <c r="P2" s="103"/>
      <c r="Q2" s="102">
        <v>7</v>
      </c>
      <c r="R2" s="103"/>
      <c r="S2" s="102">
        <v>8</v>
      </c>
      <c r="T2" s="103"/>
      <c r="U2" s="102">
        <v>9</v>
      </c>
      <c r="V2" s="103"/>
      <c r="W2" s="102">
        <v>10</v>
      </c>
      <c r="X2" s="103"/>
      <c r="Y2" s="102">
        <v>11</v>
      </c>
      <c r="Z2" s="103"/>
      <c r="AA2" s="102">
        <v>12</v>
      </c>
      <c r="AB2" s="103"/>
      <c r="AC2" s="102">
        <v>13</v>
      </c>
      <c r="AD2" s="103"/>
      <c r="AE2" s="102">
        <v>14</v>
      </c>
      <c r="AF2" s="103"/>
      <c r="AG2" s="102">
        <v>15</v>
      </c>
      <c r="AH2" s="103"/>
    </row>
    <row r="3" spans="1:34" s="4" customFormat="1" ht="16.2" customHeight="1">
      <c r="B3" s="106"/>
      <c r="C3" s="34"/>
      <c r="D3" s="34"/>
      <c r="E3" s="57"/>
      <c r="F3" s="58"/>
      <c r="G3" s="57"/>
      <c r="H3" s="58"/>
      <c r="I3" s="2" t="s">
        <v>356</v>
      </c>
      <c r="J3" s="2">
        <v>87.5</v>
      </c>
      <c r="K3" s="2" t="s">
        <v>356</v>
      </c>
      <c r="L3" s="2">
        <v>38.22</v>
      </c>
      <c r="M3" s="2" t="s">
        <v>356</v>
      </c>
      <c r="N3" s="2">
        <v>209.4</v>
      </c>
      <c r="O3" s="2" t="s">
        <v>356</v>
      </c>
      <c r="P3" s="59">
        <v>98.6</v>
      </c>
      <c r="Q3" s="2" t="s">
        <v>356</v>
      </c>
      <c r="R3" s="59">
        <v>107</v>
      </c>
      <c r="S3" s="2" t="s">
        <v>356</v>
      </c>
      <c r="T3" s="59">
        <v>23.8</v>
      </c>
      <c r="U3" s="59"/>
      <c r="V3" s="59">
        <v>38.4</v>
      </c>
      <c r="W3" s="59"/>
      <c r="X3" s="59">
        <v>57.5</v>
      </c>
      <c r="Y3" s="59"/>
      <c r="Z3" s="59">
        <v>60</v>
      </c>
      <c r="AA3" s="59"/>
      <c r="AB3" s="59">
        <v>65</v>
      </c>
      <c r="AC3" s="59"/>
      <c r="AD3" s="59">
        <v>127.1</v>
      </c>
      <c r="AE3" s="59"/>
      <c r="AF3" s="59"/>
      <c r="AG3" s="59"/>
      <c r="AH3" s="59"/>
    </row>
    <row r="4" spans="1:34" s="3" customFormat="1" ht="28.8">
      <c r="B4" s="107"/>
      <c r="C4" s="35" t="s">
        <v>61</v>
      </c>
      <c r="D4" s="2" t="s">
        <v>65</v>
      </c>
      <c r="E4" s="2" t="s">
        <v>62</v>
      </c>
      <c r="F4" s="2" t="s">
        <v>64</v>
      </c>
      <c r="G4" s="2" t="s">
        <v>62</v>
      </c>
      <c r="H4" s="2" t="s">
        <v>64</v>
      </c>
      <c r="I4" s="2" t="s">
        <v>62</v>
      </c>
      <c r="J4" s="2" t="s">
        <v>64</v>
      </c>
      <c r="K4" s="2" t="s">
        <v>62</v>
      </c>
      <c r="L4" s="2" t="s">
        <v>64</v>
      </c>
      <c r="M4" s="2" t="s">
        <v>62</v>
      </c>
      <c r="N4" s="2" t="s">
        <v>64</v>
      </c>
      <c r="O4" s="2" t="s">
        <v>62</v>
      </c>
      <c r="P4" s="2" t="s">
        <v>64</v>
      </c>
      <c r="Q4" s="2" t="s">
        <v>62</v>
      </c>
      <c r="R4" s="2" t="s">
        <v>64</v>
      </c>
      <c r="S4" s="2" t="s">
        <v>62</v>
      </c>
      <c r="T4" s="2" t="s">
        <v>64</v>
      </c>
      <c r="U4" s="2" t="s">
        <v>62</v>
      </c>
      <c r="V4" s="2" t="s">
        <v>64</v>
      </c>
      <c r="W4" s="2" t="s">
        <v>62</v>
      </c>
      <c r="X4" s="2" t="s">
        <v>64</v>
      </c>
      <c r="Y4" s="2" t="s">
        <v>62</v>
      </c>
      <c r="Z4" s="2" t="s">
        <v>64</v>
      </c>
      <c r="AA4" s="2" t="s">
        <v>62</v>
      </c>
      <c r="AB4" s="2" t="s">
        <v>64</v>
      </c>
      <c r="AC4" s="2" t="s">
        <v>62</v>
      </c>
      <c r="AD4" s="2" t="s">
        <v>64</v>
      </c>
      <c r="AE4" s="2" t="s">
        <v>62</v>
      </c>
      <c r="AF4" s="2" t="s">
        <v>64</v>
      </c>
      <c r="AG4" s="2" t="s">
        <v>62</v>
      </c>
      <c r="AH4" s="2" t="s">
        <v>64</v>
      </c>
    </row>
    <row r="5" spans="1:34" s="3" customFormat="1">
      <c r="B5" s="30"/>
      <c r="C5" s="25"/>
      <c r="D5" s="25">
        <f>SUM(C6:C30)</f>
        <v>12054.250000000002</v>
      </c>
      <c r="E5" s="25">
        <f>SUM(E6:E16)</f>
        <v>6505.4599999999982</v>
      </c>
      <c r="F5" s="25" t="e">
        <f>#REF!</f>
        <v>#REF!</v>
      </c>
      <c r="G5" s="25">
        <f>SUM(G6:G26)</f>
        <v>8355.07</v>
      </c>
      <c r="H5" s="25">
        <v>1.0299000000000001E-2</v>
      </c>
      <c r="I5" s="25">
        <f>SUM(I6:I18)</f>
        <v>8355.0699999999979</v>
      </c>
      <c r="J5" s="25">
        <f>J3/I5</f>
        <v>1.0472683053523193E-2</v>
      </c>
      <c r="K5" s="25">
        <f>SUM(K6:K18)</f>
        <v>8355.0500000000011</v>
      </c>
      <c r="L5" s="25">
        <f>L3/K5</f>
        <v>4.5744789079658404E-3</v>
      </c>
      <c r="M5" s="25">
        <f>SUM(M6:M18)</f>
        <v>8355.0500000000011</v>
      </c>
      <c r="N5" s="25">
        <f>N3/M5</f>
        <v>2.5062686638619755E-2</v>
      </c>
      <c r="O5" s="25">
        <f>SUM(O6:O18)</f>
        <v>12054.419999999998</v>
      </c>
      <c r="P5" s="25">
        <f>P3/O5</f>
        <v>8.1795723062577878E-3</v>
      </c>
      <c r="Q5" s="25">
        <f>SUM(Q6:Q18)</f>
        <v>12054.400000000001</v>
      </c>
      <c r="R5" s="25">
        <f>R3/Q5</f>
        <v>8.8764268648792131E-3</v>
      </c>
      <c r="S5" s="25">
        <f>SUM(S6:S18)</f>
        <v>12054.410000000002</v>
      </c>
      <c r="T5" s="25">
        <f>T3/S5</f>
        <v>1.9743811600899585E-3</v>
      </c>
      <c r="U5" s="25">
        <f>SUM(U6:U18)</f>
        <v>12054.410000000002</v>
      </c>
      <c r="V5" s="25">
        <f>V3/U5</f>
        <v>3.1855561574560673E-3</v>
      </c>
      <c r="W5" s="25">
        <f t="shared" ref="W5" si="0">SUM(W6:W18)</f>
        <v>12054.4</v>
      </c>
      <c r="X5" s="25">
        <f t="shared" ref="X5" si="1">X3/W5</f>
        <v>4.7700424741173352E-3</v>
      </c>
      <c r="Y5" s="25">
        <f t="shared" ref="Y5" si="2">SUM(Y6:Y18)</f>
        <v>12054.35</v>
      </c>
      <c r="Z5" s="25">
        <f t="shared" ref="Z5" si="3">Z3/Y5</f>
        <v>4.977456270972719E-3</v>
      </c>
      <c r="AA5" s="25">
        <f t="shared" ref="AA5" si="4">SUM(AA6:AA18)</f>
        <v>12054.35</v>
      </c>
      <c r="AB5" s="25">
        <f t="shared" ref="AB5" si="5">AB3/AA5</f>
        <v>5.3922442935537794E-3</v>
      </c>
      <c r="AC5" s="25">
        <f t="shared" ref="AC5" si="6">SUM(AC6:AC18)</f>
        <v>12054.250000000002</v>
      </c>
      <c r="AD5" s="25">
        <f t="shared" ref="AD5" si="7">AD3/AC5</f>
        <v>1.0543999004500485E-2</v>
      </c>
      <c r="AE5" s="25">
        <f t="shared" ref="AE5" si="8">SUM(AE6:AE18)</f>
        <v>0</v>
      </c>
      <c r="AF5" s="25" t="e">
        <f t="shared" ref="AF5" si="9">AF3/AE5</f>
        <v>#DIV/0!</v>
      </c>
      <c r="AG5" s="25">
        <f t="shared" ref="AG5" si="10">SUM(AG6:AG18)</f>
        <v>0</v>
      </c>
      <c r="AH5" s="25" t="e">
        <f t="shared" ref="AH5" si="11">AH3/AG5</f>
        <v>#DIV/0!</v>
      </c>
    </row>
    <row r="6" spans="1:34" s="29" customFormat="1">
      <c r="A6" s="26" t="s">
        <v>37</v>
      </c>
      <c r="B6" s="27" t="s">
        <v>36</v>
      </c>
      <c r="C6" s="32">
        <f>VLOOKUP($B6,'Quản lý ví Near'!$C$3:$G$36,5,FALSE)</f>
        <v>1039.69</v>
      </c>
      <c r="D6" s="36">
        <f t="shared" ref="D6:D18" si="12">C6/$D$5</f>
        <v>8.6250907356326595E-2</v>
      </c>
      <c r="E6" s="29">
        <v>0</v>
      </c>
      <c r="F6" s="29" t="e">
        <f>ROUNDDOWN(E6*F$5,2)</f>
        <v>#REF!</v>
      </c>
      <c r="G6" s="29">
        <v>1027.24</v>
      </c>
      <c r="H6" s="29">
        <f>ROUNDDOWN(G6*H$5,2)</f>
        <v>10.57</v>
      </c>
      <c r="I6" s="29">
        <v>1020.13</v>
      </c>
      <c r="J6" s="29">
        <f>ROUNDDOWN(I6*J$5,2)</f>
        <v>10.68</v>
      </c>
      <c r="K6" s="29">
        <v>1054.99</v>
      </c>
      <c r="L6" s="29">
        <f>ROUNDDOWN(K6*L$5,2)</f>
        <v>4.82</v>
      </c>
      <c r="M6" s="29">
        <v>1054.99</v>
      </c>
      <c r="N6" s="29">
        <f>ROUNDDOWN(M6*N$5,2)</f>
        <v>26.44</v>
      </c>
      <c r="O6" s="29">
        <v>997.99</v>
      </c>
      <c r="P6" s="29">
        <f>ROUNDDOWN(O6*P$5,2)</f>
        <v>8.16</v>
      </c>
      <c r="Q6" s="29">
        <v>999.31</v>
      </c>
      <c r="R6" s="29">
        <f>ROUNDDOWN(Q6*R$5,2)</f>
        <v>8.8699999999999992</v>
      </c>
      <c r="S6" s="29">
        <v>1000.7</v>
      </c>
      <c r="T6" s="29">
        <f>ROUNDDOWN(S6*T$5,2)</f>
        <v>1.97</v>
      </c>
      <c r="U6" s="29">
        <v>1000.7</v>
      </c>
      <c r="V6" s="29">
        <f>ROUNDDOWN(U6*V$5,2)</f>
        <v>3.18</v>
      </c>
      <c r="W6" s="29">
        <v>1003.58</v>
      </c>
      <c r="X6" s="29">
        <f t="shared" ref="X6:AD6" si="13">ROUNDDOWN(W6*X$5,2)</f>
        <v>4.78</v>
      </c>
      <c r="Y6" s="29">
        <v>1017.97</v>
      </c>
      <c r="Z6" s="29">
        <f t="shared" si="13"/>
        <v>5.0599999999999996</v>
      </c>
      <c r="AA6" s="29">
        <v>1017.06</v>
      </c>
      <c r="AB6" s="29">
        <f t="shared" si="13"/>
        <v>5.48</v>
      </c>
      <c r="AC6" s="29">
        <v>1039.69</v>
      </c>
      <c r="AD6" s="29">
        <f t="shared" si="13"/>
        <v>10.96</v>
      </c>
    </row>
    <row r="7" spans="1:34" s="29" customFormat="1">
      <c r="A7" s="26" t="s">
        <v>60</v>
      </c>
      <c r="B7" s="31" t="s">
        <v>38</v>
      </c>
      <c r="C7" s="32">
        <f>VLOOKUP($B7,'Quản lý ví Near'!$C$3:$G$36,5,FALSE)</f>
        <v>651.67999999999995</v>
      </c>
      <c r="D7" s="36">
        <f t="shared" si="12"/>
        <v>5.4062260198685097E-2</v>
      </c>
      <c r="E7" s="28">
        <f>533.79*2</f>
        <v>1067.58</v>
      </c>
      <c r="F7" s="29" t="e">
        <f>ROUNDDOWN(E7*F$5,2)</f>
        <v>#REF!</v>
      </c>
      <c r="G7" s="29">
        <v>519.96</v>
      </c>
      <c r="H7" s="29">
        <f>ROUNDDOWN(G7*H$5,2)</f>
        <v>5.35</v>
      </c>
      <c r="I7" s="29">
        <v>515.4</v>
      </c>
      <c r="J7" s="29">
        <f>ROUNDDOWN(I7*J$5,2)</f>
        <v>5.39</v>
      </c>
      <c r="K7" s="29">
        <v>475.07</v>
      </c>
      <c r="L7" s="29">
        <f>ROUNDDOWN(K7*L$5,2)</f>
        <v>2.17</v>
      </c>
      <c r="M7" s="29">
        <v>475.07</v>
      </c>
      <c r="N7" s="29">
        <f>ROUNDDOWN(M7*N$5,2)</f>
        <v>11.9</v>
      </c>
      <c r="O7" s="29">
        <v>666.16</v>
      </c>
      <c r="P7" s="29">
        <f>ROUNDDOWN(O7*P$5,2)</f>
        <v>5.44</v>
      </c>
      <c r="Q7" s="29">
        <v>667.56</v>
      </c>
      <c r="R7" s="29">
        <f>ROUNDDOWN(Q7*R$5,2)</f>
        <v>5.92</v>
      </c>
      <c r="S7" s="29">
        <v>669.02</v>
      </c>
      <c r="T7" s="29">
        <f>ROUNDDOWN(S7*T$5,2)</f>
        <v>1.32</v>
      </c>
      <c r="U7" s="29">
        <v>669.02</v>
      </c>
      <c r="V7" s="29">
        <f>ROUNDDOWN(U7*V$5,2)</f>
        <v>2.13</v>
      </c>
      <c r="W7" s="29">
        <v>672.05</v>
      </c>
      <c r="X7" s="29">
        <f t="shared" ref="X7:AD18" si="14">ROUNDDOWN(W7*X$5,2)</f>
        <v>3.2</v>
      </c>
      <c r="Y7" s="29">
        <v>667.25</v>
      </c>
      <c r="Z7" s="29">
        <f t="shared" si="14"/>
        <v>3.32</v>
      </c>
      <c r="AA7" s="29">
        <v>664.96</v>
      </c>
      <c r="AB7" s="29">
        <f t="shared" si="14"/>
        <v>3.58</v>
      </c>
      <c r="AC7" s="29">
        <v>651.67999999999995</v>
      </c>
      <c r="AD7" s="29">
        <f t="shared" si="14"/>
        <v>6.87</v>
      </c>
    </row>
    <row r="8" spans="1:34" s="29" customFormat="1">
      <c r="A8" s="26" t="s">
        <v>2</v>
      </c>
      <c r="B8" s="33" t="s">
        <v>23</v>
      </c>
      <c r="C8" s="32">
        <f>VLOOKUP($B8,'Quản lý ví Near'!$C$3:$G$36,5,FALSE)</f>
        <v>2863.49</v>
      </c>
      <c r="D8" s="36">
        <f t="shared" si="12"/>
        <v>0.23755024161602747</v>
      </c>
      <c r="E8" s="28">
        <f>799.64*2</f>
        <v>1599.28</v>
      </c>
      <c r="F8" s="29" t="e">
        <f t="shared" ref="F8:F16" si="15">ROUNDDOWN(E8*F$5,2)</f>
        <v>#REF!</v>
      </c>
      <c r="G8" s="29">
        <v>1767.28</v>
      </c>
      <c r="H8" s="29">
        <f t="shared" ref="H8:V18" si="16">ROUNDDOWN(G8*H$5,2)</f>
        <v>18.2</v>
      </c>
      <c r="I8" s="29">
        <v>1767.28</v>
      </c>
      <c r="J8" s="29">
        <f t="shared" si="16"/>
        <v>18.5</v>
      </c>
      <c r="K8" s="29">
        <v>1767.28</v>
      </c>
      <c r="L8" s="29">
        <f t="shared" si="16"/>
        <v>8.08</v>
      </c>
      <c r="M8" s="29">
        <v>1767.28</v>
      </c>
      <c r="N8" s="29">
        <f t="shared" si="16"/>
        <v>44.29</v>
      </c>
      <c r="O8" s="29">
        <v>2863.49</v>
      </c>
      <c r="P8" s="29">
        <f t="shared" si="16"/>
        <v>23.42</v>
      </c>
      <c r="Q8" s="29">
        <v>2863.49</v>
      </c>
      <c r="R8" s="29">
        <f t="shared" si="16"/>
        <v>25.41</v>
      </c>
      <c r="S8" s="29">
        <v>2863.49</v>
      </c>
      <c r="T8" s="29">
        <f t="shared" si="16"/>
        <v>5.65</v>
      </c>
      <c r="U8" s="29">
        <v>2863.49</v>
      </c>
      <c r="V8" s="29">
        <f t="shared" si="16"/>
        <v>9.1199999999999992</v>
      </c>
      <c r="W8" s="29">
        <v>2863.49</v>
      </c>
      <c r="X8" s="29">
        <f t="shared" si="14"/>
        <v>13.65</v>
      </c>
      <c r="Y8" s="29">
        <v>2863.49</v>
      </c>
      <c r="Z8" s="29">
        <f t="shared" si="14"/>
        <v>14.25</v>
      </c>
      <c r="AA8" s="29">
        <v>2863.49</v>
      </c>
      <c r="AB8" s="29">
        <f t="shared" si="14"/>
        <v>15.44</v>
      </c>
      <c r="AC8" s="29">
        <v>2863.49</v>
      </c>
      <c r="AD8" s="29">
        <f t="shared" si="14"/>
        <v>30.19</v>
      </c>
    </row>
    <row r="9" spans="1:34" s="29" customFormat="1">
      <c r="A9" s="26" t="s">
        <v>1</v>
      </c>
      <c r="B9" s="33" t="s">
        <v>24</v>
      </c>
      <c r="C9" s="32">
        <f>VLOOKUP($B9,'Quản lý ví Near'!$C$3:$G$36,5,FALSE)</f>
        <v>2549.4699999999998</v>
      </c>
      <c r="D9" s="36">
        <f t="shared" si="12"/>
        <v>0.21149967853661567</v>
      </c>
      <c r="E9" s="28">
        <f>777.6*2</f>
        <v>1555.2</v>
      </c>
      <c r="F9" s="29" t="e">
        <f t="shared" si="15"/>
        <v>#REF!</v>
      </c>
      <c r="G9" s="29">
        <v>1699.65</v>
      </c>
      <c r="H9" s="29">
        <f t="shared" si="16"/>
        <v>17.5</v>
      </c>
      <c r="I9" s="29">
        <v>1699.65</v>
      </c>
      <c r="J9" s="29">
        <f t="shared" si="16"/>
        <v>17.79</v>
      </c>
      <c r="K9" s="29">
        <v>1699.65</v>
      </c>
      <c r="L9" s="29">
        <f t="shared" si="16"/>
        <v>7.77</v>
      </c>
      <c r="M9" s="29">
        <v>1699.65</v>
      </c>
      <c r="N9" s="29">
        <f t="shared" si="16"/>
        <v>42.59</v>
      </c>
      <c r="O9" s="29">
        <v>2549.4699999999998</v>
      </c>
      <c r="P9" s="29">
        <f t="shared" si="16"/>
        <v>20.85</v>
      </c>
      <c r="Q9" s="29">
        <v>2549.4699999999998</v>
      </c>
      <c r="R9" s="29">
        <f t="shared" si="16"/>
        <v>22.63</v>
      </c>
      <c r="S9" s="29">
        <v>2549.4699999999998</v>
      </c>
      <c r="T9" s="29">
        <f t="shared" si="16"/>
        <v>5.03</v>
      </c>
      <c r="U9" s="29">
        <v>2549.4699999999998</v>
      </c>
      <c r="V9" s="29">
        <f t="shared" si="16"/>
        <v>8.1199999999999992</v>
      </c>
      <c r="W9" s="29">
        <v>2549.4699999999998</v>
      </c>
      <c r="X9" s="29">
        <f t="shared" si="14"/>
        <v>12.16</v>
      </c>
      <c r="Y9" s="29">
        <v>2549.4699999999998</v>
      </c>
      <c r="Z9" s="29">
        <f t="shared" si="14"/>
        <v>12.68</v>
      </c>
      <c r="AA9" s="29">
        <v>2549.4699999999998</v>
      </c>
      <c r="AB9" s="29">
        <f t="shared" si="14"/>
        <v>13.74</v>
      </c>
      <c r="AC9" s="29">
        <v>2549.4699999999998</v>
      </c>
      <c r="AD9" s="29">
        <f t="shared" si="14"/>
        <v>26.88</v>
      </c>
    </row>
    <row r="10" spans="1:34" s="29" customFormat="1">
      <c r="A10" s="26" t="s">
        <v>6</v>
      </c>
      <c r="B10" s="33" t="s">
        <v>29</v>
      </c>
      <c r="C10" s="32">
        <f>VLOOKUP($B10,'Quản lý ví Near'!$C$3:$G$36,5,FALSE)</f>
        <v>499.17</v>
      </c>
      <c r="D10" s="36">
        <f t="shared" si="12"/>
        <v>4.1410290976211704E-2</v>
      </c>
      <c r="E10" s="28">
        <f>142.18*2</f>
        <v>284.36</v>
      </c>
      <c r="F10" s="29" t="e">
        <f t="shared" si="15"/>
        <v>#REF!</v>
      </c>
      <c r="G10" s="29">
        <v>342.78</v>
      </c>
      <c r="H10" s="29">
        <f t="shared" si="16"/>
        <v>3.53</v>
      </c>
      <c r="I10" s="29">
        <v>342.78</v>
      </c>
      <c r="J10" s="29">
        <f t="shared" si="16"/>
        <v>3.58</v>
      </c>
      <c r="K10" s="29">
        <v>342.78</v>
      </c>
      <c r="L10" s="29">
        <f t="shared" si="16"/>
        <v>1.56</v>
      </c>
      <c r="M10" s="29">
        <v>342.78</v>
      </c>
      <c r="N10" s="29">
        <f t="shared" si="16"/>
        <v>8.59</v>
      </c>
      <c r="O10" s="29">
        <v>499.17</v>
      </c>
      <c r="P10" s="29">
        <f t="shared" si="16"/>
        <v>4.08</v>
      </c>
      <c r="Q10" s="29">
        <v>499.17</v>
      </c>
      <c r="R10" s="29">
        <f t="shared" si="16"/>
        <v>4.43</v>
      </c>
      <c r="S10" s="29">
        <v>499.17</v>
      </c>
      <c r="T10" s="29">
        <f t="shared" si="16"/>
        <v>0.98</v>
      </c>
      <c r="U10" s="29">
        <v>499.17</v>
      </c>
      <c r="V10" s="29">
        <f t="shared" si="16"/>
        <v>1.59</v>
      </c>
      <c r="W10" s="29">
        <v>499.17</v>
      </c>
      <c r="X10" s="29">
        <f t="shared" si="14"/>
        <v>2.38</v>
      </c>
      <c r="Y10" s="29">
        <v>499.17</v>
      </c>
      <c r="Z10" s="29">
        <f t="shared" si="14"/>
        <v>2.48</v>
      </c>
      <c r="AA10" s="29">
        <v>499.17</v>
      </c>
      <c r="AB10" s="29">
        <f t="shared" si="14"/>
        <v>2.69</v>
      </c>
      <c r="AC10" s="29">
        <v>499.17</v>
      </c>
      <c r="AD10" s="29">
        <f t="shared" si="14"/>
        <v>5.26</v>
      </c>
    </row>
    <row r="11" spans="1:34" s="29" customFormat="1">
      <c r="A11" s="26" t="s">
        <v>7</v>
      </c>
      <c r="B11" s="33" t="s">
        <v>30</v>
      </c>
      <c r="C11" s="32">
        <f>VLOOKUP($B11,'Quản lý ví Near'!$C$3:$G$36,5,FALSE)</f>
        <v>879.59</v>
      </c>
      <c r="D11" s="36">
        <f t="shared" si="12"/>
        <v>7.2969284692121023E-2</v>
      </c>
      <c r="E11" s="28">
        <f>190.47*2</f>
        <v>380.94</v>
      </c>
      <c r="F11" s="29" t="e">
        <f t="shared" si="15"/>
        <v>#REF!</v>
      </c>
      <c r="G11" s="29">
        <v>597.05999999999995</v>
      </c>
      <c r="H11" s="29">
        <f t="shared" si="16"/>
        <v>6.14</v>
      </c>
      <c r="I11" s="29">
        <v>597.05999999999995</v>
      </c>
      <c r="J11" s="29">
        <f t="shared" si="16"/>
        <v>6.25</v>
      </c>
      <c r="K11" s="29">
        <v>597.05999999999995</v>
      </c>
      <c r="L11" s="29">
        <f t="shared" si="16"/>
        <v>2.73</v>
      </c>
      <c r="M11" s="29">
        <v>597.05999999999995</v>
      </c>
      <c r="N11" s="29">
        <f t="shared" si="16"/>
        <v>14.96</v>
      </c>
      <c r="O11" s="29">
        <v>895.59</v>
      </c>
      <c r="P11" s="29">
        <f t="shared" si="16"/>
        <v>7.32</v>
      </c>
      <c r="Q11" s="29">
        <v>889.59</v>
      </c>
      <c r="R11" s="29">
        <f t="shared" si="16"/>
        <v>7.89</v>
      </c>
      <c r="S11" s="29">
        <v>885.59</v>
      </c>
      <c r="T11" s="29">
        <f t="shared" si="16"/>
        <v>1.74</v>
      </c>
      <c r="U11" s="29">
        <v>885.59</v>
      </c>
      <c r="V11" s="29">
        <f t="shared" si="16"/>
        <v>2.82</v>
      </c>
      <c r="W11" s="29">
        <v>879.59</v>
      </c>
      <c r="X11" s="29">
        <f t="shared" si="14"/>
        <v>4.1900000000000004</v>
      </c>
      <c r="Y11" s="29">
        <v>879.59</v>
      </c>
      <c r="Z11" s="29">
        <f t="shared" si="14"/>
        <v>4.37</v>
      </c>
      <c r="AA11" s="29">
        <v>879.59</v>
      </c>
      <c r="AB11" s="29">
        <f t="shared" si="14"/>
        <v>4.74</v>
      </c>
      <c r="AC11" s="29">
        <v>879.59</v>
      </c>
      <c r="AD11" s="29">
        <f t="shared" si="14"/>
        <v>9.27</v>
      </c>
    </row>
    <row r="12" spans="1:34" s="29" customFormat="1">
      <c r="A12" s="26" t="s">
        <v>3</v>
      </c>
      <c r="B12" s="33" t="s">
        <v>27</v>
      </c>
      <c r="C12" s="32">
        <f>VLOOKUP($B12,'Quản lý ví Near'!$C$3:$G$36,5,FALSE)</f>
        <v>898.26</v>
      </c>
      <c r="D12" s="36">
        <f t="shared" si="12"/>
        <v>7.4518116017172356E-2</v>
      </c>
      <c r="E12" s="28">
        <f>285.81*2</f>
        <v>571.62</v>
      </c>
      <c r="F12" s="29" t="e">
        <f t="shared" si="15"/>
        <v>#REF!</v>
      </c>
      <c r="G12" s="29">
        <v>605.32000000000005</v>
      </c>
      <c r="H12" s="29">
        <f t="shared" si="16"/>
        <v>6.23</v>
      </c>
      <c r="I12" s="29">
        <v>605.30999999999995</v>
      </c>
      <c r="J12" s="29">
        <f t="shared" si="16"/>
        <v>6.33</v>
      </c>
      <c r="K12" s="29">
        <v>605.35</v>
      </c>
      <c r="L12" s="29">
        <f t="shared" si="16"/>
        <v>2.76</v>
      </c>
      <c r="M12" s="29">
        <v>605.35</v>
      </c>
      <c r="N12" s="29">
        <f t="shared" si="16"/>
        <v>15.17</v>
      </c>
      <c r="O12" s="29">
        <v>907.92</v>
      </c>
      <c r="P12" s="29">
        <f t="shared" si="16"/>
        <v>7.42</v>
      </c>
      <c r="Q12" s="29">
        <v>907.93</v>
      </c>
      <c r="R12" s="29">
        <f t="shared" si="16"/>
        <v>8.0500000000000007</v>
      </c>
      <c r="S12" s="29">
        <v>907.94</v>
      </c>
      <c r="T12" s="29">
        <f t="shared" si="16"/>
        <v>1.79</v>
      </c>
      <c r="U12" s="29">
        <v>907.94</v>
      </c>
      <c r="V12" s="29">
        <f t="shared" si="16"/>
        <v>2.89</v>
      </c>
      <c r="W12" s="29">
        <v>907.97</v>
      </c>
      <c r="X12" s="29">
        <f t="shared" si="14"/>
        <v>4.33</v>
      </c>
      <c r="Y12" s="29">
        <v>898.09</v>
      </c>
      <c r="Z12" s="29">
        <f t="shared" si="14"/>
        <v>4.47</v>
      </c>
      <c r="AA12" s="29">
        <v>898.08</v>
      </c>
      <c r="AB12" s="29">
        <f t="shared" si="14"/>
        <v>4.84</v>
      </c>
      <c r="AC12" s="29">
        <v>898.26</v>
      </c>
      <c r="AD12" s="29">
        <f t="shared" si="14"/>
        <v>9.4700000000000006</v>
      </c>
    </row>
    <row r="13" spans="1:34" s="29" customFormat="1">
      <c r="A13" s="26" t="s">
        <v>4</v>
      </c>
      <c r="B13" s="33" t="s">
        <v>28</v>
      </c>
      <c r="C13" s="32">
        <f>VLOOKUP($B13,'Quản lý ví Near'!$C$3:$G$36,5,FALSE)</f>
        <v>671.44</v>
      </c>
      <c r="D13" s="36">
        <f t="shared" si="12"/>
        <v>5.5701516062799425E-2</v>
      </c>
      <c r="E13" s="28">
        <f>243.16*2</f>
        <v>486.32</v>
      </c>
      <c r="F13" s="29" t="e">
        <f t="shared" si="15"/>
        <v>#REF!</v>
      </c>
      <c r="G13" s="29">
        <v>456.63</v>
      </c>
      <c r="H13" s="29">
        <f t="shared" si="16"/>
        <v>4.7</v>
      </c>
      <c r="I13" s="29">
        <v>456.62</v>
      </c>
      <c r="J13" s="29">
        <f t="shared" si="16"/>
        <v>4.78</v>
      </c>
      <c r="K13" s="29">
        <v>460.8</v>
      </c>
      <c r="L13" s="29">
        <f t="shared" si="16"/>
        <v>2.1</v>
      </c>
      <c r="M13" s="29">
        <v>460.8</v>
      </c>
      <c r="N13" s="29">
        <f t="shared" si="16"/>
        <v>11.54</v>
      </c>
      <c r="O13" s="29">
        <v>681.09</v>
      </c>
      <c r="P13" s="29">
        <f t="shared" si="16"/>
        <v>5.57</v>
      </c>
      <c r="Q13" s="29">
        <v>681.1</v>
      </c>
      <c r="R13" s="29">
        <f t="shared" si="16"/>
        <v>6.04</v>
      </c>
      <c r="S13" s="29">
        <v>681.11</v>
      </c>
      <c r="T13" s="29">
        <f t="shared" si="16"/>
        <v>1.34</v>
      </c>
      <c r="U13" s="29">
        <v>681.11</v>
      </c>
      <c r="V13" s="29">
        <f t="shared" si="16"/>
        <v>2.16</v>
      </c>
      <c r="W13" s="29">
        <v>681.14</v>
      </c>
      <c r="X13" s="29">
        <f t="shared" si="14"/>
        <v>3.24</v>
      </c>
      <c r="Y13" s="29">
        <v>681.26</v>
      </c>
      <c r="Z13" s="29">
        <f t="shared" si="14"/>
        <v>3.39</v>
      </c>
      <c r="AA13" s="29">
        <v>681.25</v>
      </c>
      <c r="AB13" s="29">
        <f t="shared" si="14"/>
        <v>3.67</v>
      </c>
      <c r="AC13" s="29">
        <v>671.44</v>
      </c>
      <c r="AD13" s="29">
        <f t="shared" si="14"/>
        <v>7.07</v>
      </c>
    </row>
    <row r="14" spans="1:34" s="29" customFormat="1">
      <c r="A14" s="26" t="s">
        <v>8</v>
      </c>
      <c r="B14" s="33" t="s">
        <v>31</v>
      </c>
      <c r="C14" s="32">
        <f>VLOOKUP($B14,'Quản lý ví Near'!$C$3:$G$36,5,FALSE)</f>
        <v>356.23</v>
      </c>
      <c r="D14" s="36">
        <f t="shared" si="12"/>
        <v>2.9552232615052781E-2</v>
      </c>
      <c r="E14" s="28">
        <f>106.58*2</f>
        <v>213.16</v>
      </c>
      <c r="F14" s="29" t="e">
        <f t="shared" si="15"/>
        <v>#REF!</v>
      </c>
      <c r="G14" s="29">
        <v>237.49</v>
      </c>
      <c r="H14" s="29">
        <f t="shared" si="16"/>
        <v>2.44</v>
      </c>
      <c r="I14" s="29">
        <v>237.49</v>
      </c>
      <c r="J14" s="29">
        <f t="shared" si="16"/>
        <v>2.48</v>
      </c>
      <c r="K14" s="29">
        <v>237.49</v>
      </c>
      <c r="L14" s="29">
        <f t="shared" si="16"/>
        <v>1.08</v>
      </c>
      <c r="M14" s="29">
        <v>237.49</v>
      </c>
      <c r="N14" s="29">
        <f t="shared" si="16"/>
        <v>5.95</v>
      </c>
      <c r="O14" s="29">
        <v>356.23</v>
      </c>
      <c r="P14" s="29">
        <f t="shared" si="16"/>
        <v>2.91</v>
      </c>
      <c r="Q14" s="29">
        <v>356.23</v>
      </c>
      <c r="R14" s="29">
        <f t="shared" si="16"/>
        <v>3.16</v>
      </c>
      <c r="S14" s="29">
        <v>356.23</v>
      </c>
      <c r="T14" s="29">
        <f t="shared" si="16"/>
        <v>0.7</v>
      </c>
      <c r="U14" s="29">
        <v>356.23</v>
      </c>
      <c r="V14" s="29">
        <f t="shared" si="16"/>
        <v>1.1299999999999999</v>
      </c>
      <c r="W14" s="29">
        <v>356.23</v>
      </c>
      <c r="X14" s="29">
        <f t="shared" si="14"/>
        <v>1.69</v>
      </c>
      <c r="Y14" s="29">
        <v>356.23</v>
      </c>
      <c r="Z14" s="29">
        <f t="shared" si="14"/>
        <v>1.77</v>
      </c>
      <c r="AA14" s="29">
        <v>356.23</v>
      </c>
      <c r="AB14" s="29">
        <f t="shared" si="14"/>
        <v>1.92</v>
      </c>
      <c r="AC14" s="29">
        <v>356.23</v>
      </c>
      <c r="AD14" s="29">
        <f t="shared" si="14"/>
        <v>3.75</v>
      </c>
    </row>
    <row r="15" spans="1:34" s="29" customFormat="1">
      <c r="A15" s="26" t="s">
        <v>33</v>
      </c>
      <c r="B15" s="33" t="s">
        <v>33</v>
      </c>
      <c r="C15" s="32">
        <f>VLOOKUP($B15,'Quản lý ví Near'!$C$3:$G$36,5,FALSE)</f>
        <v>260.25</v>
      </c>
      <c r="D15" s="36">
        <f t="shared" si="12"/>
        <v>2.1589895679946902E-2</v>
      </c>
      <c r="E15" s="28">
        <f>86.75*2</f>
        <v>173.5</v>
      </c>
      <c r="F15" s="29" t="e">
        <f t="shared" si="15"/>
        <v>#REF!</v>
      </c>
      <c r="G15" s="29">
        <v>173.5</v>
      </c>
      <c r="H15" s="29">
        <f t="shared" si="16"/>
        <v>1.78</v>
      </c>
      <c r="I15" s="29">
        <v>173.5</v>
      </c>
      <c r="J15" s="29">
        <f t="shared" si="16"/>
        <v>1.81</v>
      </c>
      <c r="K15" s="29">
        <v>173.5</v>
      </c>
      <c r="L15" s="29">
        <f t="shared" si="16"/>
        <v>0.79</v>
      </c>
      <c r="M15" s="29">
        <v>173.5</v>
      </c>
      <c r="N15" s="29">
        <f t="shared" si="16"/>
        <v>4.34</v>
      </c>
      <c r="O15" s="29">
        <v>260.25</v>
      </c>
      <c r="P15" s="29">
        <f t="shared" si="16"/>
        <v>2.12</v>
      </c>
      <c r="Q15" s="29">
        <v>260.25</v>
      </c>
      <c r="R15" s="29">
        <f t="shared" si="16"/>
        <v>2.31</v>
      </c>
      <c r="S15" s="29">
        <v>260.25</v>
      </c>
      <c r="T15" s="29">
        <f t="shared" si="16"/>
        <v>0.51</v>
      </c>
      <c r="U15" s="29">
        <v>260.25</v>
      </c>
      <c r="V15" s="29">
        <f t="shared" si="16"/>
        <v>0.82</v>
      </c>
      <c r="W15" s="29">
        <v>260.25</v>
      </c>
      <c r="X15" s="29">
        <f t="shared" si="14"/>
        <v>1.24</v>
      </c>
      <c r="Y15" s="29">
        <v>260.25</v>
      </c>
      <c r="Z15" s="29">
        <f t="shared" si="14"/>
        <v>1.29</v>
      </c>
      <c r="AA15" s="29">
        <v>260.25</v>
      </c>
      <c r="AB15" s="29">
        <f t="shared" si="14"/>
        <v>1.4</v>
      </c>
      <c r="AC15" s="29">
        <v>260.25</v>
      </c>
      <c r="AD15" s="29">
        <f t="shared" si="14"/>
        <v>2.74</v>
      </c>
    </row>
    <row r="16" spans="1:34" s="29" customFormat="1">
      <c r="A16" s="26" t="s">
        <v>34</v>
      </c>
      <c r="B16" s="33" t="s">
        <v>35</v>
      </c>
      <c r="C16" s="32">
        <f>VLOOKUP($B16,'Quản lý ví Near'!$C$3:$G$36,5,FALSE)</f>
        <v>271.61</v>
      </c>
      <c r="D16" s="36">
        <f t="shared" si="12"/>
        <v>2.2532301885227198E-2</v>
      </c>
      <c r="E16" s="28">
        <f>86.75*2</f>
        <v>173.5</v>
      </c>
      <c r="F16" s="29" t="e">
        <f t="shared" si="15"/>
        <v>#REF!</v>
      </c>
      <c r="G16" s="29">
        <v>207.38</v>
      </c>
      <c r="H16" s="29">
        <f t="shared" si="16"/>
        <v>2.13</v>
      </c>
      <c r="I16" s="29">
        <v>209.37</v>
      </c>
      <c r="J16" s="29">
        <f t="shared" si="16"/>
        <v>2.19</v>
      </c>
      <c r="K16" s="29">
        <v>210.6</v>
      </c>
      <c r="L16" s="29">
        <f t="shared" si="16"/>
        <v>0.96</v>
      </c>
      <c r="M16" s="29">
        <v>210.6</v>
      </c>
      <c r="N16" s="29">
        <f t="shared" si="16"/>
        <v>5.27</v>
      </c>
      <c r="O16" s="29">
        <v>265.8</v>
      </c>
      <c r="P16" s="29">
        <f t="shared" si="16"/>
        <v>2.17</v>
      </c>
      <c r="Q16" s="29">
        <v>266.93</v>
      </c>
      <c r="R16" s="29">
        <f t="shared" si="16"/>
        <v>2.36</v>
      </c>
      <c r="S16" s="29">
        <v>268.07</v>
      </c>
      <c r="T16" s="29">
        <f t="shared" si="16"/>
        <v>0.52</v>
      </c>
      <c r="U16" s="29">
        <v>268.07</v>
      </c>
      <c r="V16" s="29">
        <f t="shared" si="16"/>
        <v>0.85</v>
      </c>
      <c r="W16" s="29">
        <v>268.08999999999997</v>
      </c>
      <c r="X16" s="29">
        <f t="shared" si="14"/>
        <v>1.27</v>
      </c>
      <c r="Y16" s="29">
        <v>268.20999999999998</v>
      </c>
      <c r="Z16" s="29">
        <f t="shared" si="14"/>
        <v>1.33</v>
      </c>
      <c r="AA16" s="29">
        <v>271.43</v>
      </c>
      <c r="AB16" s="29">
        <f t="shared" si="14"/>
        <v>1.46</v>
      </c>
      <c r="AC16" s="29">
        <v>271.61</v>
      </c>
      <c r="AD16" s="29">
        <f t="shared" si="14"/>
        <v>2.86</v>
      </c>
    </row>
    <row r="17" spans="1:30" s="29" customFormat="1">
      <c r="A17" s="37" t="s">
        <v>69</v>
      </c>
      <c r="B17" s="37" t="s">
        <v>70</v>
      </c>
      <c r="C17" s="32">
        <f>VLOOKUP($B17,'Quản lý ví Near'!$C$3:$G$36,5,FALSE)</f>
        <v>631.16999999999996</v>
      </c>
      <c r="D17" s="36">
        <f t="shared" si="12"/>
        <v>5.2360785615032032E-2</v>
      </c>
      <c r="E17" s="28"/>
      <c r="G17" s="29">
        <v>420.78</v>
      </c>
      <c r="H17" s="29">
        <f t="shared" si="16"/>
        <v>4.33</v>
      </c>
      <c r="I17" s="29">
        <v>420.78</v>
      </c>
      <c r="J17" s="29">
        <f t="shared" si="16"/>
        <v>4.4000000000000004</v>
      </c>
      <c r="K17" s="29">
        <v>420.78</v>
      </c>
      <c r="L17" s="29">
        <f t="shared" si="16"/>
        <v>1.92</v>
      </c>
      <c r="M17" s="29">
        <v>420.78</v>
      </c>
      <c r="N17" s="29">
        <f t="shared" si="16"/>
        <v>10.54</v>
      </c>
      <c r="O17" s="29">
        <v>631.16999999999996</v>
      </c>
      <c r="P17" s="29">
        <f t="shared" si="16"/>
        <v>5.16</v>
      </c>
      <c r="Q17" s="29">
        <v>631.16999999999996</v>
      </c>
      <c r="R17" s="29">
        <f t="shared" si="16"/>
        <v>5.6</v>
      </c>
      <c r="S17" s="29">
        <v>631.16999999999996</v>
      </c>
      <c r="T17" s="29">
        <f t="shared" si="16"/>
        <v>1.24</v>
      </c>
      <c r="U17" s="29">
        <v>631.16999999999996</v>
      </c>
      <c r="V17" s="29">
        <f t="shared" si="16"/>
        <v>2.0099999999999998</v>
      </c>
      <c r="W17" s="29">
        <v>631.16999999999996</v>
      </c>
      <c r="X17" s="29">
        <f t="shared" si="14"/>
        <v>3.01</v>
      </c>
      <c r="Y17" s="29">
        <v>631.16999999999996</v>
      </c>
      <c r="Z17" s="29">
        <f t="shared" si="14"/>
        <v>3.14</v>
      </c>
      <c r="AA17" s="29">
        <v>631.16999999999996</v>
      </c>
      <c r="AB17" s="29">
        <f t="shared" si="14"/>
        <v>3.4</v>
      </c>
      <c r="AC17" s="29">
        <v>631.16999999999996</v>
      </c>
      <c r="AD17" s="29">
        <f t="shared" si="14"/>
        <v>6.65</v>
      </c>
    </row>
    <row r="18" spans="1:30" s="42" customFormat="1">
      <c r="A18" s="39" t="s">
        <v>71</v>
      </c>
      <c r="B18" s="39" t="s">
        <v>72</v>
      </c>
      <c r="C18" s="32">
        <f>VLOOKUP($B18,'Quản lý ví Near'!$C$3:$G$36,5,FALSE)</f>
        <v>482.2</v>
      </c>
      <c r="D18" s="40">
        <f t="shared" si="12"/>
        <v>4.0002488748781546E-2</v>
      </c>
      <c r="E18" s="41"/>
      <c r="G18" s="42">
        <v>300</v>
      </c>
      <c r="H18" s="42">
        <f t="shared" si="16"/>
        <v>3.08</v>
      </c>
      <c r="I18" s="29">
        <v>309.7</v>
      </c>
      <c r="J18" s="42">
        <f t="shared" si="16"/>
        <v>3.24</v>
      </c>
      <c r="K18" s="29">
        <v>309.7</v>
      </c>
      <c r="L18" s="42">
        <f t="shared" si="16"/>
        <v>1.41</v>
      </c>
      <c r="M18" s="29">
        <v>309.7</v>
      </c>
      <c r="N18" s="42">
        <f t="shared" si="16"/>
        <v>7.76</v>
      </c>
      <c r="O18" s="29">
        <v>480.09</v>
      </c>
      <c r="P18" s="42">
        <f t="shared" si="16"/>
        <v>3.92</v>
      </c>
      <c r="Q18" s="29">
        <v>482.2</v>
      </c>
      <c r="R18" s="42">
        <f t="shared" si="16"/>
        <v>4.28</v>
      </c>
      <c r="S18" s="42">
        <v>482.2</v>
      </c>
      <c r="T18" s="42">
        <f t="shared" si="16"/>
        <v>0.95</v>
      </c>
      <c r="U18" s="42">
        <v>482.2</v>
      </c>
      <c r="V18" s="42">
        <f t="shared" si="16"/>
        <v>1.53</v>
      </c>
      <c r="W18" s="42">
        <v>482.2</v>
      </c>
      <c r="X18" s="42">
        <f t="shared" si="14"/>
        <v>2.2999999999999998</v>
      </c>
      <c r="Y18" s="29">
        <v>482.2</v>
      </c>
      <c r="Z18" s="42">
        <f t="shared" si="14"/>
        <v>2.4</v>
      </c>
      <c r="AA18" s="29">
        <v>482.2</v>
      </c>
      <c r="AB18" s="42">
        <f t="shared" si="14"/>
        <v>2.6</v>
      </c>
      <c r="AC18" s="29">
        <v>482.2</v>
      </c>
      <c r="AD18" s="42">
        <f t="shared" si="14"/>
        <v>5.08</v>
      </c>
    </row>
    <row r="19" spans="1:30">
      <c r="G19" s="38"/>
    </row>
    <row r="26" spans="1:30">
      <c r="H26" s="1">
        <f>SUM(H10:H18)+H6</f>
        <v>44.93</v>
      </c>
      <c r="J26" s="1">
        <f>SUM(J10:J18)+J6</f>
        <v>45.74</v>
      </c>
    </row>
  </sheetData>
  <mergeCells count="17">
    <mergeCell ref="AA2:AB2"/>
    <mergeCell ref="AC2:AD2"/>
    <mergeCell ref="AE2:AF2"/>
    <mergeCell ref="AG2:AH2"/>
    <mergeCell ref="B1:AA1"/>
    <mergeCell ref="E2:F2"/>
    <mergeCell ref="G2:H2"/>
    <mergeCell ref="B2:B4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5B9B-B7EC-4264-9CAE-9181130C2B80}">
  <sheetPr codeName="Sheet4">
    <tabColor rgb="FF00B0F0"/>
  </sheetPr>
  <dimension ref="A1:L24"/>
  <sheetViews>
    <sheetView workbookViewId="0">
      <selection activeCell="G5" sqref="G5"/>
    </sheetView>
  </sheetViews>
  <sheetFormatPr defaultRowHeight="14.4"/>
  <cols>
    <col min="1" max="1" width="10.5546875" style="9" customWidth="1"/>
    <col min="2" max="2" width="12.33203125" customWidth="1"/>
    <col min="3" max="3" width="26.66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</cols>
  <sheetData>
    <row r="1" spans="1:12" ht="36" customHeight="1">
      <c r="A1" s="108" t="s">
        <v>11</v>
      </c>
      <c r="B1" s="108"/>
      <c r="C1" s="108"/>
      <c r="F1" t="s">
        <v>45</v>
      </c>
      <c r="G1" s="19">
        <v>44784.786666666667</v>
      </c>
      <c r="H1" s="20" t="s">
        <v>48</v>
      </c>
      <c r="I1" s="13" t="s">
        <v>39</v>
      </c>
      <c r="J1" s="14" t="s">
        <v>40</v>
      </c>
      <c r="K1" s="14" t="s">
        <v>47</v>
      </c>
      <c r="L1" s="15" t="s">
        <v>46</v>
      </c>
    </row>
    <row r="2" spans="1:12" ht="32.4" customHeight="1">
      <c r="A2" s="8" t="s">
        <v>12</v>
      </c>
      <c r="B2" s="5" t="s">
        <v>13</v>
      </c>
      <c r="C2" s="5" t="s">
        <v>14</v>
      </c>
      <c r="D2" s="12" t="s">
        <v>42</v>
      </c>
      <c r="E2" s="12" t="s">
        <v>43</v>
      </c>
      <c r="F2" s="12" t="s">
        <v>41</v>
      </c>
      <c r="G2" s="12" t="s">
        <v>44</v>
      </c>
      <c r="H2">
        <f>SUM(E4:F28)</f>
        <v>12054.30613273326</v>
      </c>
      <c r="I2" s="16">
        <v>219.224028</v>
      </c>
      <c r="J2" s="17">
        <v>247.07047152276118</v>
      </c>
      <c r="K2" s="17">
        <v>0.85192243496840248</v>
      </c>
      <c r="L2" s="18">
        <f>J2/I2</f>
        <v>1.1270227710748986</v>
      </c>
    </row>
    <row r="3" spans="1:12">
      <c r="A3" s="7" t="s">
        <v>49</v>
      </c>
      <c r="B3" s="6" t="s">
        <v>0</v>
      </c>
      <c r="C3" s="10" t="s">
        <v>50</v>
      </c>
      <c r="D3">
        <v>0</v>
      </c>
      <c r="F3">
        <v>9987935.0600000005</v>
      </c>
      <c r="G3">
        <f>ROUNDDOWN(E3+F3,2)</f>
        <v>9987935.0600000005</v>
      </c>
      <c r="H3" s="22">
        <f>G3/(G3+$H$2)</f>
        <v>0.99879456810488632</v>
      </c>
      <c r="J3">
        <v>9992844.5399999991</v>
      </c>
    </row>
    <row r="4" spans="1:12">
      <c r="A4" s="7" t="s">
        <v>37</v>
      </c>
      <c r="B4" s="6" t="s">
        <v>0</v>
      </c>
      <c r="C4" s="10" t="s">
        <v>36</v>
      </c>
      <c r="D4" s="11">
        <v>0.83042848666174596</v>
      </c>
      <c r="E4">
        <f>D4*$I$2/$K$2</f>
        <v>213.69301985653703</v>
      </c>
      <c r="F4" s="11">
        <v>825.999145</v>
      </c>
      <c r="G4">
        <f t="shared" ref="G4:G21" si="0">ROUNDDOWN(E4+F4,2)</f>
        <v>1039.69</v>
      </c>
      <c r="H4" s="21">
        <f>G4/$H$2</f>
        <v>8.6250505715691081E-2</v>
      </c>
      <c r="J4">
        <v>636.41</v>
      </c>
      <c r="K4">
        <f>G4-J4</f>
        <v>403.28000000000009</v>
      </c>
    </row>
    <row r="5" spans="1:12">
      <c r="A5" s="7" t="s">
        <v>5</v>
      </c>
      <c r="B5" s="6" t="s">
        <v>0</v>
      </c>
      <c r="C5" s="10" t="s">
        <v>38</v>
      </c>
      <c r="D5" s="11">
        <v>0</v>
      </c>
      <c r="E5">
        <f t="shared" ref="E5:E21" si="1">D5*$I$2/$K$2</f>
        <v>0</v>
      </c>
      <c r="F5" s="11">
        <v>651.68303000000003</v>
      </c>
      <c r="G5">
        <f t="shared" si="0"/>
        <v>651.67999999999995</v>
      </c>
      <c r="H5" s="21">
        <f t="shared" ref="H5:H21" si="2">G5/$H$2</f>
        <v>5.4062008449443158E-2</v>
      </c>
      <c r="J5">
        <v>1067.57</v>
      </c>
      <c r="K5">
        <f t="shared" ref="K5:K20" si="3">G5-J5</f>
        <v>-415.89</v>
      </c>
    </row>
    <row r="6" spans="1:12">
      <c r="A6" s="7" t="s">
        <v>15</v>
      </c>
      <c r="B6" s="6" t="s">
        <v>0</v>
      </c>
      <c r="C6" s="7" t="s">
        <v>16</v>
      </c>
      <c r="D6" s="11">
        <v>0</v>
      </c>
      <c r="E6">
        <f t="shared" si="1"/>
        <v>0</v>
      </c>
      <c r="F6" s="11">
        <v>0</v>
      </c>
      <c r="G6">
        <f t="shared" si="0"/>
        <v>0</v>
      </c>
      <c r="H6" s="21">
        <f t="shared" si="2"/>
        <v>0</v>
      </c>
      <c r="J6">
        <v>0</v>
      </c>
      <c r="K6">
        <f t="shared" si="3"/>
        <v>0</v>
      </c>
    </row>
    <row r="7" spans="1:12">
      <c r="A7" s="7" t="s">
        <v>17</v>
      </c>
      <c r="B7" s="6" t="s">
        <v>0</v>
      </c>
      <c r="C7" s="7" t="s">
        <v>18</v>
      </c>
      <c r="D7" s="11">
        <v>0</v>
      </c>
      <c r="E7">
        <f t="shared" si="1"/>
        <v>0</v>
      </c>
      <c r="F7" s="11">
        <v>0</v>
      </c>
      <c r="G7">
        <f t="shared" si="0"/>
        <v>0</v>
      </c>
      <c r="H7" s="21">
        <f t="shared" si="2"/>
        <v>0</v>
      </c>
      <c r="J7">
        <v>0</v>
      </c>
      <c r="K7">
        <f t="shared" si="3"/>
        <v>0</v>
      </c>
    </row>
    <row r="8" spans="1:12">
      <c r="A8" s="7" t="s">
        <v>19</v>
      </c>
      <c r="B8" s="6" t="s">
        <v>0</v>
      </c>
      <c r="C8" s="7" t="s">
        <v>20</v>
      </c>
      <c r="D8" s="11">
        <v>0</v>
      </c>
      <c r="E8">
        <f t="shared" si="1"/>
        <v>0</v>
      </c>
      <c r="F8" s="11">
        <v>0</v>
      </c>
      <c r="G8">
        <f t="shared" si="0"/>
        <v>0</v>
      </c>
      <c r="H8" s="21">
        <f t="shared" si="2"/>
        <v>0</v>
      </c>
      <c r="J8">
        <v>0</v>
      </c>
      <c r="K8">
        <f t="shared" si="3"/>
        <v>0</v>
      </c>
    </row>
    <row r="9" spans="1:12">
      <c r="A9" s="7" t="s">
        <v>21</v>
      </c>
      <c r="B9" s="6" t="s">
        <v>0</v>
      </c>
      <c r="C9" s="7" t="s">
        <v>22</v>
      </c>
      <c r="D9" s="11">
        <v>0</v>
      </c>
      <c r="E9">
        <f t="shared" si="1"/>
        <v>0</v>
      </c>
      <c r="F9" s="11">
        <v>0</v>
      </c>
      <c r="G9">
        <f t="shared" si="0"/>
        <v>0</v>
      </c>
      <c r="H9" s="21">
        <f t="shared" si="2"/>
        <v>0</v>
      </c>
      <c r="J9">
        <v>0</v>
      </c>
      <c r="K9">
        <f t="shared" si="3"/>
        <v>0</v>
      </c>
    </row>
    <row r="10" spans="1:12">
      <c r="A10" s="7" t="s">
        <v>2</v>
      </c>
      <c r="B10" s="6" t="s">
        <v>0</v>
      </c>
      <c r="C10" s="7" t="s">
        <v>23</v>
      </c>
      <c r="D10" s="11">
        <v>0</v>
      </c>
      <c r="E10">
        <f t="shared" si="1"/>
        <v>0</v>
      </c>
      <c r="F10" s="11">
        <v>2863.4921530000001</v>
      </c>
      <c r="G10">
        <f t="shared" si="0"/>
        <v>2863.49</v>
      </c>
      <c r="H10" s="21">
        <f t="shared" si="2"/>
        <v>0.23754913542673703</v>
      </c>
      <c r="J10">
        <v>1599.28</v>
      </c>
      <c r="K10">
        <f t="shared" si="3"/>
        <v>1264.2099999999998</v>
      </c>
    </row>
    <row r="11" spans="1:12">
      <c r="A11" s="7" t="s">
        <v>1</v>
      </c>
      <c r="B11" s="6" t="s">
        <v>0</v>
      </c>
      <c r="C11" s="7" t="s">
        <v>24</v>
      </c>
      <c r="D11" s="11">
        <v>0</v>
      </c>
      <c r="E11">
        <f t="shared" si="1"/>
        <v>0</v>
      </c>
      <c r="F11" s="11">
        <v>2549.475653</v>
      </c>
      <c r="G11">
        <f t="shared" si="0"/>
        <v>2549.4699999999998</v>
      </c>
      <c r="H11" s="21">
        <f t="shared" si="2"/>
        <v>0.2114986936557848</v>
      </c>
      <c r="J11">
        <v>1555.2</v>
      </c>
      <c r="K11">
        <f t="shared" si="3"/>
        <v>994.26999999999975</v>
      </c>
    </row>
    <row r="12" spans="1:12">
      <c r="A12" s="7" t="s">
        <v>25</v>
      </c>
      <c r="B12" s="6" t="s">
        <v>0</v>
      </c>
      <c r="C12" s="7" t="s">
        <v>26</v>
      </c>
      <c r="D12" s="11">
        <v>0</v>
      </c>
      <c r="E12">
        <f t="shared" si="1"/>
        <v>0</v>
      </c>
      <c r="F12" s="11">
        <v>0</v>
      </c>
      <c r="G12">
        <f t="shared" si="0"/>
        <v>0</v>
      </c>
      <c r="H12" s="21">
        <f t="shared" si="2"/>
        <v>0</v>
      </c>
      <c r="J12">
        <v>0</v>
      </c>
      <c r="K12">
        <f t="shared" si="3"/>
        <v>0</v>
      </c>
    </row>
    <row r="13" spans="1:12">
      <c r="A13" s="7" t="s">
        <v>3</v>
      </c>
      <c r="B13" s="6" t="s">
        <v>0</v>
      </c>
      <c r="C13" s="7" t="s">
        <v>27</v>
      </c>
      <c r="D13" s="11">
        <v>6.3962596979973262E-3</v>
      </c>
      <c r="E13">
        <f t="shared" si="1"/>
        <v>1.6459407072441343</v>
      </c>
      <c r="F13" s="11">
        <v>896.62364300000002</v>
      </c>
      <c r="G13">
        <f t="shared" si="0"/>
        <v>898.26</v>
      </c>
      <c r="H13" s="21">
        <f t="shared" si="2"/>
        <v>7.451776901208694E-2</v>
      </c>
      <c r="J13">
        <v>571.61</v>
      </c>
      <c r="K13">
        <f t="shared" si="3"/>
        <v>326.64999999999998</v>
      </c>
    </row>
    <row r="14" spans="1:12">
      <c r="A14" s="7" t="s">
        <v>4</v>
      </c>
      <c r="B14" s="6" t="s">
        <v>0</v>
      </c>
      <c r="C14" s="7" t="s">
        <v>28</v>
      </c>
      <c r="D14" s="11">
        <v>6.3962596652110629E-3</v>
      </c>
      <c r="E14">
        <f t="shared" si="1"/>
        <v>1.6459406988072904</v>
      </c>
      <c r="F14" s="11">
        <v>669.79552000000001</v>
      </c>
      <c r="G14">
        <f t="shared" si="0"/>
        <v>671.44</v>
      </c>
      <c r="H14" s="21">
        <f t="shared" si="2"/>
        <v>5.5701256680110049E-2</v>
      </c>
      <c r="J14">
        <v>486.31</v>
      </c>
      <c r="K14">
        <f t="shared" si="3"/>
        <v>185.13000000000005</v>
      </c>
    </row>
    <row r="15" spans="1:12">
      <c r="A15" s="7" t="s">
        <v>6</v>
      </c>
      <c r="B15" s="6" t="s">
        <v>0</v>
      </c>
      <c r="C15" s="7" t="s">
        <v>29</v>
      </c>
      <c r="D15" s="11">
        <v>0</v>
      </c>
      <c r="E15">
        <f t="shared" si="1"/>
        <v>0</v>
      </c>
      <c r="F15" s="11">
        <v>499.17237299999999</v>
      </c>
      <c r="G15">
        <f t="shared" si="0"/>
        <v>499.17</v>
      </c>
      <c r="H15" s="21">
        <f t="shared" si="2"/>
        <v>4.1410098142813254E-2</v>
      </c>
      <c r="J15">
        <v>284.36</v>
      </c>
      <c r="K15">
        <f t="shared" si="3"/>
        <v>214.81</v>
      </c>
    </row>
    <row r="16" spans="1:12">
      <c r="A16" s="7" t="s">
        <v>7</v>
      </c>
      <c r="B16" s="6" t="s">
        <v>0</v>
      </c>
      <c r="C16" s="7" t="s">
        <v>30</v>
      </c>
      <c r="D16" s="11">
        <v>0</v>
      </c>
      <c r="E16">
        <f t="shared" si="1"/>
        <v>0</v>
      </c>
      <c r="F16" s="11">
        <v>879.59893699999998</v>
      </c>
      <c r="G16">
        <f t="shared" si="0"/>
        <v>879.59</v>
      </c>
      <c r="H16" s="21">
        <f t="shared" si="2"/>
        <v>7.2968944899407237E-2</v>
      </c>
      <c r="J16">
        <v>380.94</v>
      </c>
      <c r="K16">
        <f t="shared" si="3"/>
        <v>498.65000000000003</v>
      </c>
    </row>
    <row r="17" spans="1:12">
      <c r="A17" s="7" t="s">
        <v>8</v>
      </c>
      <c r="B17" s="6" t="s">
        <v>0</v>
      </c>
      <c r="C17" s="7" t="s">
        <v>31</v>
      </c>
      <c r="D17" s="11">
        <v>0</v>
      </c>
      <c r="E17">
        <f t="shared" si="1"/>
        <v>0</v>
      </c>
      <c r="F17" s="11">
        <v>356.23902500000003</v>
      </c>
      <c r="G17">
        <f t="shared" si="0"/>
        <v>356.23</v>
      </c>
      <c r="H17" s="21">
        <f t="shared" si="2"/>
        <v>2.9552095000529612E-2</v>
      </c>
      <c r="J17">
        <v>212.48</v>
      </c>
      <c r="K17">
        <f t="shared" si="3"/>
        <v>143.75000000000003</v>
      </c>
    </row>
    <row r="18" spans="1:12">
      <c r="A18" s="7" t="s">
        <v>32</v>
      </c>
      <c r="B18" s="6" t="s">
        <v>0</v>
      </c>
      <c r="C18" s="7" t="s">
        <v>33</v>
      </c>
      <c r="D18" s="11">
        <v>0</v>
      </c>
      <c r="E18">
        <f t="shared" si="1"/>
        <v>0</v>
      </c>
      <c r="F18" s="11">
        <v>260.25</v>
      </c>
      <c r="G18">
        <f t="shared" si="0"/>
        <v>260.25</v>
      </c>
      <c r="H18" s="21">
        <f t="shared" si="2"/>
        <v>2.1589795143272132E-2</v>
      </c>
      <c r="J18">
        <v>173.5</v>
      </c>
      <c r="K18">
        <f t="shared" si="3"/>
        <v>86.75</v>
      </c>
    </row>
    <row r="19" spans="1:12">
      <c r="A19" s="7" t="s">
        <v>34</v>
      </c>
      <c r="B19" s="6" t="s">
        <v>0</v>
      </c>
      <c r="C19" s="7" t="s">
        <v>35</v>
      </c>
      <c r="D19" s="11">
        <v>6.2381924144978528E-3</v>
      </c>
      <c r="E19">
        <f t="shared" si="1"/>
        <v>1.6052654706716196</v>
      </c>
      <c r="F19" s="11">
        <v>270.008127</v>
      </c>
      <c r="G19">
        <f t="shared" si="0"/>
        <v>271.61</v>
      </c>
      <c r="H19" s="21">
        <f t="shared" si="2"/>
        <v>2.2532196960092774E-2</v>
      </c>
      <c r="J19">
        <v>187.76</v>
      </c>
      <c r="K19">
        <f t="shared" si="3"/>
        <v>83.850000000000023</v>
      </c>
    </row>
    <row r="20" spans="1:12">
      <c r="A20" s="7" t="s">
        <v>69</v>
      </c>
      <c r="B20" s="6" t="s">
        <v>66</v>
      </c>
      <c r="C20" s="7" t="s">
        <v>67</v>
      </c>
      <c r="D20" s="11">
        <v>0</v>
      </c>
      <c r="E20">
        <f t="shared" si="1"/>
        <v>0</v>
      </c>
      <c r="F20" s="11">
        <v>631.17699600000003</v>
      </c>
      <c r="G20">
        <f t="shared" si="0"/>
        <v>631.16999999999996</v>
      </c>
      <c r="H20" s="21">
        <f t="shared" si="2"/>
        <v>5.2360541788968568E-2</v>
      </c>
      <c r="J20">
        <v>0</v>
      </c>
      <c r="K20">
        <f t="shared" si="3"/>
        <v>631.16999999999996</v>
      </c>
      <c r="L20">
        <f>K20*1.63</f>
        <v>1028.8070999999998</v>
      </c>
    </row>
    <row r="21" spans="1:12">
      <c r="A21" s="7" t="s">
        <v>71</v>
      </c>
      <c r="B21" s="6" t="s">
        <v>56</v>
      </c>
      <c r="C21" s="7" t="s">
        <v>72</v>
      </c>
      <c r="D21" s="11">
        <v>0</v>
      </c>
      <c r="E21">
        <f t="shared" si="1"/>
        <v>0</v>
      </c>
      <c r="F21" s="11">
        <v>482.20136400000001</v>
      </c>
      <c r="G21">
        <f t="shared" si="0"/>
        <v>482.2</v>
      </c>
      <c r="H21" s="21">
        <f t="shared" si="2"/>
        <v>4.0002302471031016E-2</v>
      </c>
      <c r="L21">
        <f>L20*6.2</f>
        <v>6378.6040199999989</v>
      </c>
    </row>
    <row r="22" spans="1:12">
      <c r="A22" s="7"/>
      <c r="B22" s="6"/>
      <c r="C22" s="7"/>
      <c r="D22" s="11"/>
      <c r="F22" s="11"/>
    </row>
    <row r="23" spans="1:12">
      <c r="A23" s="7"/>
      <c r="B23" s="6"/>
      <c r="C23" s="7"/>
      <c r="D23" s="11"/>
      <c r="F23" s="11"/>
    </row>
    <row r="24" spans="1:12">
      <c r="A24" s="7"/>
      <c r="B24" s="6"/>
      <c r="C24" s="7"/>
      <c r="D24" s="11"/>
      <c r="F24" s="11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B6E1-8538-4408-975D-4E97AF2ECF49}">
  <sheetPr>
    <tabColor rgb="FF00B0F0"/>
  </sheetPr>
  <dimension ref="A1:C9"/>
  <sheetViews>
    <sheetView workbookViewId="0">
      <selection activeCell="C21" sqref="C21"/>
    </sheetView>
  </sheetViews>
  <sheetFormatPr defaultRowHeight="14.4"/>
  <cols>
    <col min="1" max="1" width="15.5546875" customWidth="1"/>
    <col min="2" max="2" width="6.6640625" customWidth="1"/>
    <col min="3" max="3" width="47.44140625" customWidth="1"/>
  </cols>
  <sheetData>
    <row r="1" spans="1:3">
      <c r="A1" s="108" t="s">
        <v>11</v>
      </c>
      <c r="B1" s="108"/>
      <c r="C1" s="108"/>
    </row>
    <row r="2" spans="1:3">
      <c r="A2" s="8" t="s">
        <v>12</v>
      </c>
      <c r="B2" s="5" t="s">
        <v>13</v>
      </c>
      <c r="C2" s="5" t="s">
        <v>14</v>
      </c>
    </row>
    <row r="3" spans="1:3" ht="15">
      <c r="A3" s="79" t="s">
        <v>400</v>
      </c>
      <c r="B3" s="79" t="s">
        <v>377</v>
      </c>
      <c r="C3" s="80" t="s">
        <v>401</v>
      </c>
    </row>
    <row r="4" spans="1:3" ht="15">
      <c r="A4" s="79" t="s">
        <v>402</v>
      </c>
      <c r="B4" s="79" t="s">
        <v>377</v>
      </c>
      <c r="C4" s="80" t="s">
        <v>403</v>
      </c>
    </row>
    <row r="5" spans="1:3">
      <c r="A5" s="79" t="s">
        <v>71</v>
      </c>
      <c r="B5" s="79" t="s">
        <v>377</v>
      </c>
      <c r="C5" s="79" t="s">
        <v>404</v>
      </c>
    </row>
    <row r="6" spans="1:3">
      <c r="A6" s="79" t="s">
        <v>2</v>
      </c>
      <c r="B6" s="79" t="s">
        <v>377</v>
      </c>
      <c r="C6" s="79" t="s">
        <v>405</v>
      </c>
    </row>
    <row r="7" spans="1:3">
      <c r="A7" s="79" t="s">
        <v>406</v>
      </c>
      <c r="B7" s="79" t="s">
        <v>377</v>
      </c>
      <c r="C7" s="79" t="s">
        <v>407</v>
      </c>
    </row>
    <row r="8" spans="1:3" ht="15">
      <c r="A8" s="81" t="s">
        <v>1</v>
      </c>
      <c r="B8" s="79" t="s">
        <v>377</v>
      </c>
      <c r="C8" s="80" t="s">
        <v>408</v>
      </c>
    </row>
    <row r="9" spans="1:3">
      <c r="A9" s="81" t="s">
        <v>25</v>
      </c>
      <c r="B9" s="79" t="s">
        <v>377</v>
      </c>
      <c r="C9" s="79" t="s">
        <v>442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D91F-993A-4DAC-B52C-D7C1D346F254}">
  <sheetPr codeName="Sheet5">
    <tabColor rgb="FF00B0F0"/>
  </sheetPr>
  <dimension ref="A1:M22"/>
  <sheetViews>
    <sheetView workbookViewId="0">
      <selection activeCell="G14" sqref="G14"/>
    </sheetView>
  </sheetViews>
  <sheetFormatPr defaultRowHeight="14.4"/>
  <cols>
    <col min="1" max="1" width="15" style="9" customWidth="1"/>
    <col min="2" max="2" width="12.33203125" customWidth="1"/>
    <col min="3" max="3" width="34.441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  <col min="13" max="13" width="11" customWidth="1"/>
  </cols>
  <sheetData>
    <row r="1" spans="1:13" ht="36" customHeight="1">
      <c r="A1" s="108" t="s">
        <v>51</v>
      </c>
      <c r="B1" s="108"/>
      <c r="C1" s="108"/>
      <c r="F1" t="s">
        <v>45</v>
      </c>
      <c r="G1" s="19">
        <v>44784.938506944447</v>
      </c>
      <c r="H1" s="20" t="s">
        <v>48</v>
      </c>
      <c r="I1" s="13" t="s">
        <v>39</v>
      </c>
      <c r="J1" s="14" t="s">
        <v>40</v>
      </c>
      <c r="K1" s="14" t="s">
        <v>47</v>
      </c>
      <c r="L1" s="15" t="s">
        <v>46</v>
      </c>
      <c r="M1" s="23" t="s">
        <v>58</v>
      </c>
    </row>
    <row r="2" spans="1:13" ht="32.4" customHeight="1">
      <c r="A2" s="8" t="s">
        <v>54</v>
      </c>
      <c r="B2" s="5" t="s">
        <v>13</v>
      </c>
      <c r="C2" s="5" t="s">
        <v>14</v>
      </c>
      <c r="D2" s="12" t="s">
        <v>55</v>
      </c>
      <c r="E2" s="12" t="s">
        <v>52</v>
      </c>
      <c r="F2" s="12" t="s">
        <v>53</v>
      </c>
      <c r="G2" s="12" t="s">
        <v>59</v>
      </c>
      <c r="H2">
        <f>SUM(G3:G26)</f>
        <v>10283.950000000001</v>
      </c>
      <c r="I2" s="16">
        <v>188.87510399999999</v>
      </c>
      <c r="J2" s="17">
        <v>304.58887150953842</v>
      </c>
      <c r="K2" s="17">
        <v>0.87786965031386244</v>
      </c>
      <c r="L2" s="18">
        <f>J2/I2</f>
        <v>1.6126470088378531</v>
      </c>
      <c r="M2" s="24">
        <f>H2/('Quản lý ví Near'!H2-'Quản lý ví Near'!G4)</f>
        <v>0.9336639494351634</v>
      </c>
    </row>
    <row r="3" spans="1:13">
      <c r="A3" s="7" t="s">
        <v>37</v>
      </c>
      <c r="B3" s="6" t="s">
        <v>0</v>
      </c>
      <c r="C3" s="10" t="s">
        <v>36</v>
      </c>
      <c r="D3" s="11">
        <v>0.85635264337835126</v>
      </c>
      <c r="E3">
        <f>D3*$J$2/$K$2</f>
        <v>297.12325191737335</v>
      </c>
      <c r="F3" s="11">
        <v>3.3360553287504757</v>
      </c>
      <c r="G3">
        <f>ROUNDDOWN(E3+F3,2)</f>
        <v>300.45</v>
      </c>
      <c r="H3" s="21">
        <f t="shared" ref="H3:H10" si="0">G3/$H$2</f>
        <v>2.9215427924095309E-2</v>
      </c>
    </row>
    <row r="4" spans="1:13">
      <c r="A4" s="7" t="s">
        <v>394</v>
      </c>
      <c r="B4" s="6" t="s">
        <v>0</v>
      </c>
      <c r="C4" s="7" t="s">
        <v>16</v>
      </c>
      <c r="D4" s="11">
        <v>0</v>
      </c>
      <c r="E4">
        <f t="shared" ref="E4:E10" si="1">D4*$J$2/$K$2</f>
        <v>0</v>
      </c>
      <c r="F4" s="11">
        <v>1.199295195769335</v>
      </c>
      <c r="G4">
        <v>2121</v>
      </c>
      <c r="H4" s="21">
        <f t="shared" si="0"/>
        <v>0.20624370985856599</v>
      </c>
    </row>
    <row r="5" spans="1:13">
      <c r="A5" s="7" t="s">
        <v>395</v>
      </c>
      <c r="B5" s="6" t="s">
        <v>0</v>
      </c>
      <c r="C5" s="7" t="s">
        <v>18</v>
      </c>
      <c r="D5" s="11">
        <v>0</v>
      </c>
      <c r="E5">
        <f t="shared" si="1"/>
        <v>0</v>
      </c>
      <c r="F5" s="11">
        <v>0.79806127857638498</v>
      </c>
      <c r="G5">
        <v>2123</v>
      </c>
      <c r="H5" s="21">
        <f t="shared" si="0"/>
        <v>0.2064381876613558</v>
      </c>
    </row>
    <row r="6" spans="1:13">
      <c r="A6" s="7" t="s">
        <v>396</v>
      </c>
      <c r="B6" s="6" t="s">
        <v>0</v>
      </c>
      <c r="C6" s="7" t="s">
        <v>20</v>
      </c>
      <c r="D6" s="11">
        <v>0</v>
      </c>
      <c r="E6">
        <f t="shared" si="1"/>
        <v>0</v>
      </c>
      <c r="F6" s="11">
        <v>1.2598357742529123</v>
      </c>
      <c r="G6">
        <v>931</v>
      </c>
      <c r="H6" s="21">
        <f t="shared" si="0"/>
        <v>9.0529417198644477E-2</v>
      </c>
    </row>
    <row r="7" spans="1:13">
      <c r="A7" s="7" t="s">
        <v>397</v>
      </c>
      <c r="B7" s="6" t="s">
        <v>0</v>
      </c>
      <c r="C7" s="7" t="s">
        <v>22</v>
      </c>
      <c r="D7" s="11">
        <v>0</v>
      </c>
      <c r="E7">
        <f t="shared" si="1"/>
        <v>0</v>
      </c>
      <c r="F7" s="11">
        <v>1.3077360901427992</v>
      </c>
      <c r="G7">
        <v>1486</v>
      </c>
      <c r="H7" s="21">
        <f t="shared" si="0"/>
        <v>0.14449700747280955</v>
      </c>
    </row>
    <row r="8" spans="1:13">
      <c r="A8" s="7" t="s">
        <v>398</v>
      </c>
      <c r="B8" s="6" t="s">
        <v>56</v>
      </c>
      <c r="C8" s="7" t="s">
        <v>57</v>
      </c>
      <c r="D8" s="11">
        <v>0</v>
      </c>
      <c r="E8">
        <f t="shared" si="1"/>
        <v>0</v>
      </c>
      <c r="F8" s="11">
        <v>2.1482909017533238</v>
      </c>
      <c r="G8">
        <v>1465</v>
      </c>
      <c r="H8" s="21">
        <f t="shared" si="0"/>
        <v>0.14245499054351682</v>
      </c>
    </row>
    <row r="9" spans="1:13">
      <c r="A9" s="7" t="s">
        <v>399</v>
      </c>
      <c r="B9" s="6" t="s">
        <v>56</v>
      </c>
      <c r="C9" s="7" t="s">
        <v>57</v>
      </c>
      <c r="D9" s="11">
        <v>0</v>
      </c>
      <c r="E9">
        <f t="shared" si="1"/>
        <v>0</v>
      </c>
      <c r="F9" s="11">
        <v>2.1482909017533238</v>
      </c>
      <c r="G9">
        <v>1471</v>
      </c>
      <c r="H9" s="21">
        <f t="shared" si="0"/>
        <v>0.14303842395188618</v>
      </c>
    </row>
    <row r="10" spans="1:13">
      <c r="A10" s="7" t="s">
        <v>5</v>
      </c>
      <c r="B10" s="6" t="s">
        <v>0</v>
      </c>
      <c r="C10" s="7" t="s">
        <v>68</v>
      </c>
      <c r="D10" s="11">
        <v>0</v>
      </c>
      <c r="E10">
        <f t="shared" si="1"/>
        <v>0</v>
      </c>
      <c r="F10" s="11">
        <v>386.50751368651515</v>
      </c>
      <c r="G10">
        <f t="shared" ref="G10" si="2">ROUNDDOWN(E10+F10,2)</f>
        <v>386.5</v>
      </c>
      <c r="H10" s="21">
        <f t="shared" si="0"/>
        <v>3.7582835389125768E-2</v>
      </c>
    </row>
    <row r="11" spans="1:13">
      <c r="A11" s="7"/>
      <c r="B11" s="6"/>
      <c r="C11" s="7"/>
      <c r="D11" s="11"/>
      <c r="F11" s="11"/>
      <c r="H11" s="21"/>
    </row>
    <row r="12" spans="1:13">
      <c r="A12" s="7"/>
      <c r="B12" s="6"/>
      <c r="C12" s="7"/>
      <c r="D12" s="11"/>
      <c r="F12" s="11"/>
      <c r="H12" s="21"/>
    </row>
    <row r="13" spans="1:13">
      <c r="A13" s="7"/>
      <c r="B13" s="6"/>
      <c r="C13" s="7"/>
      <c r="D13" s="11"/>
      <c r="F13" s="11"/>
      <c r="H13" s="21"/>
    </row>
    <row r="14" spans="1:13">
      <c r="A14" s="7"/>
      <c r="B14" s="6"/>
      <c r="C14" s="7"/>
      <c r="D14" s="11"/>
      <c r="F14" s="11"/>
      <c r="H14" s="21"/>
    </row>
    <row r="15" spans="1:13">
      <c r="A15" s="7"/>
      <c r="B15" s="6"/>
      <c r="C15" s="7"/>
      <c r="D15" s="11"/>
      <c r="F15" s="11"/>
      <c r="H15" s="21"/>
    </row>
    <row r="16" spans="1:13">
      <c r="A16" s="7"/>
      <c r="B16" s="6"/>
      <c r="C16" s="7"/>
      <c r="D16" s="11"/>
      <c r="F16" s="11"/>
      <c r="H16" s="21"/>
    </row>
    <row r="17" spans="1:8">
      <c r="A17" s="7"/>
      <c r="B17" s="6"/>
      <c r="C17" s="7"/>
      <c r="D17" s="11"/>
      <c r="F17" s="11"/>
      <c r="H17" s="21"/>
    </row>
    <row r="18" spans="1:8">
      <c r="A18" s="7"/>
      <c r="B18" s="6"/>
      <c r="C18" s="7"/>
    </row>
    <row r="19" spans="1:8">
      <c r="A19" s="7"/>
      <c r="B19" s="6"/>
      <c r="C19" s="7"/>
    </row>
    <row r="20" spans="1:8">
      <c r="A20" s="7"/>
      <c r="B20" s="6"/>
      <c r="C20" s="7"/>
    </row>
    <row r="21" spans="1:8">
      <c r="A21" s="7"/>
      <c r="B21" s="6"/>
      <c r="C21" s="7"/>
    </row>
    <row r="22" spans="1:8">
      <c r="A22" s="7"/>
      <c r="B22" s="6"/>
      <c r="C22" s="7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7027-0746-401A-83AA-D295AF85733B}">
  <dimension ref="A1:E99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D57" sqref="D57"/>
    </sheetView>
  </sheetViews>
  <sheetFormatPr defaultRowHeight="14.4"/>
  <cols>
    <col min="1" max="1" width="11.21875" customWidth="1"/>
    <col min="2" max="2" width="11.6640625" style="9" customWidth="1"/>
    <col min="3" max="3" width="12.6640625" style="9" customWidth="1"/>
    <col min="4" max="4" width="154.77734375" style="9" customWidth="1"/>
  </cols>
  <sheetData>
    <row r="1" spans="1:5" s="45" customFormat="1" ht="15.6">
      <c r="A1" s="43" t="s">
        <v>73</v>
      </c>
      <c r="B1" s="44" t="s">
        <v>74</v>
      </c>
      <c r="C1" s="44" t="s">
        <v>75</v>
      </c>
      <c r="D1" s="44" t="s">
        <v>76</v>
      </c>
    </row>
    <row r="2" spans="1:5" s="11" customFormat="1" ht="15.6" customHeight="1">
      <c r="A2" s="110" t="s">
        <v>77</v>
      </c>
      <c r="B2" s="46" t="s">
        <v>78</v>
      </c>
      <c r="C2" s="47" t="s">
        <v>79</v>
      </c>
      <c r="D2" s="47" t="s">
        <v>80</v>
      </c>
      <c r="E2" s="111" t="s">
        <v>81</v>
      </c>
    </row>
    <row r="3" spans="1:5" s="11" customFormat="1" ht="15.6" customHeight="1">
      <c r="A3" s="110"/>
      <c r="B3" s="46" t="s">
        <v>82</v>
      </c>
      <c r="C3" s="47" t="s">
        <v>83</v>
      </c>
      <c r="D3" s="47" t="s">
        <v>84</v>
      </c>
      <c r="E3" s="111"/>
    </row>
    <row r="4" spans="1:5" s="11" customFormat="1" ht="15.6" customHeight="1">
      <c r="A4" s="110"/>
      <c r="B4" s="46" t="s">
        <v>85</v>
      </c>
      <c r="C4" s="47" t="s">
        <v>86</v>
      </c>
      <c r="D4" s="47" t="s">
        <v>87</v>
      </c>
      <c r="E4" s="111"/>
    </row>
    <row r="5" spans="1:5" s="11" customFormat="1" ht="15.6" customHeight="1">
      <c r="A5" s="110"/>
      <c r="B5" s="46" t="s">
        <v>88</v>
      </c>
      <c r="C5" s="47" t="s">
        <v>89</v>
      </c>
      <c r="D5" s="47" t="s">
        <v>90</v>
      </c>
      <c r="E5" s="111"/>
    </row>
    <row r="6" spans="1:5" s="11" customFormat="1" ht="15.6" customHeight="1">
      <c r="A6" s="110"/>
      <c r="B6" s="46" t="s">
        <v>91</v>
      </c>
      <c r="C6" s="47" t="s">
        <v>92</v>
      </c>
      <c r="D6" s="47" t="s">
        <v>93</v>
      </c>
      <c r="E6" s="111"/>
    </row>
    <row r="7" spans="1:5" s="11" customFormat="1" ht="15.6" customHeight="1">
      <c r="A7" s="110"/>
      <c r="B7" s="46" t="s">
        <v>94</v>
      </c>
      <c r="C7" s="47" t="s">
        <v>95</v>
      </c>
      <c r="D7" s="47" t="s">
        <v>96</v>
      </c>
      <c r="E7" s="111"/>
    </row>
    <row r="8" spans="1:5" s="11" customFormat="1" ht="15.6" customHeight="1">
      <c r="A8" s="110"/>
      <c r="B8" s="46" t="s">
        <v>97</v>
      </c>
      <c r="C8" s="47" t="s">
        <v>98</v>
      </c>
      <c r="D8" s="47" t="s">
        <v>99</v>
      </c>
      <c r="E8" s="48"/>
    </row>
    <row r="9" spans="1:5" s="11" customFormat="1" ht="15.6" customHeight="1">
      <c r="A9" s="110"/>
      <c r="B9" s="46" t="s">
        <v>100</v>
      </c>
      <c r="C9" s="47" t="s">
        <v>101</v>
      </c>
      <c r="D9" s="47" t="s">
        <v>102</v>
      </c>
      <c r="E9" s="48"/>
    </row>
    <row r="10" spans="1:5" s="11" customFormat="1" ht="15.6" customHeight="1">
      <c r="A10" s="110"/>
      <c r="B10" s="46" t="s">
        <v>103</v>
      </c>
      <c r="C10" s="47" t="s">
        <v>104</v>
      </c>
      <c r="D10" s="47" t="s">
        <v>105</v>
      </c>
      <c r="E10" s="48"/>
    </row>
    <row r="11" spans="1:5" s="11" customFormat="1" ht="15.6" customHeight="1">
      <c r="A11" s="110"/>
      <c r="B11" s="46" t="s">
        <v>106</v>
      </c>
      <c r="C11" s="47" t="s">
        <v>107</v>
      </c>
      <c r="D11" s="47" t="s">
        <v>108</v>
      </c>
      <c r="E11" s="48"/>
    </row>
    <row r="12" spans="1:5" s="11" customFormat="1" ht="15.6" customHeight="1">
      <c r="A12" s="110"/>
      <c r="B12" s="46" t="s">
        <v>109</v>
      </c>
      <c r="C12" s="47" t="s">
        <v>110</v>
      </c>
      <c r="D12" s="47" t="s">
        <v>111</v>
      </c>
      <c r="E12" s="48"/>
    </row>
    <row r="13" spans="1:5" s="11" customFormat="1" ht="15.6" customHeight="1">
      <c r="A13" s="110"/>
      <c r="B13" s="46" t="s">
        <v>112</v>
      </c>
      <c r="C13" s="47" t="s">
        <v>113</v>
      </c>
      <c r="D13" s="47" t="s">
        <v>114</v>
      </c>
      <c r="E13" s="48"/>
    </row>
    <row r="14" spans="1:5" s="11" customFormat="1" ht="15.6" customHeight="1">
      <c r="A14" s="110"/>
      <c r="B14" s="46" t="s">
        <v>115</v>
      </c>
      <c r="C14" s="47" t="s">
        <v>116</v>
      </c>
      <c r="D14" s="47" t="s">
        <v>117</v>
      </c>
      <c r="E14" s="48"/>
    </row>
    <row r="15" spans="1:5" s="11" customFormat="1" ht="15.6" customHeight="1">
      <c r="A15" s="110"/>
      <c r="B15" s="46" t="s">
        <v>118</v>
      </c>
      <c r="C15" s="47" t="s">
        <v>119</v>
      </c>
      <c r="D15" s="47" t="s">
        <v>120</v>
      </c>
      <c r="E15" s="48"/>
    </row>
    <row r="16" spans="1:5" s="11" customFormat="1" ht="15.6" customHeight="1">
      <c r="A16" s="110"/>
      <c r="B16" s="46" t="s">
        <v>121</v>
      </c>
      <c r="C16" s="47" t="s">
        <v>122</v>
      </c>
      <c r="D16" s="47" t="s">
        <v>123</v>
      </c>
      <c r="E16" s="48"/>
    </row>
    <row r="17" spans="1:5" s="11" customFormat="1" ht="15.6" customHeight="1">
      <c r="A17" s="110"/>
      <c r="B17" s="46" t="s">
        <v>124</v>
      </c>
      <c r="C17" s="47" t="s">
        <v>125</v>
      </c>
      <c r="D17" s="47" t="s">
        <v>126</v>
      </c>
      <c r="E17" s="48"/>
    </row>
    <row r="18" spans="1:5" s="11" customFormat="1" ht="15.6" customHeight="1">
      <c r="A18" s="110"/>
      <c r="B18" s="46" t="s">
        <v>127</v>
      </c>
      <c r="C18" s="47" t="s">
        <v>128</v>
      </c>
      <c r="D18" s="47" t="s">
        <v>129</v>
      </c>
      <c r="E18" s="48"/>
    </row>
    <row r="19" spans="1:5" s="11" customFormat="1" ht="15.6" customHeight="1">
      <c r="A19" s="110"/>
      <c r="B19" s="46" t="s">
        <v>130</v>
      </c>
      <c r="C19" s="47" t="s">
        <v>131</v>
      </c>
      <c r="D19" s="47" t="s">
        <v>132</v>
      </c>
      <c r="E19" s="48"/>
    </row>
    <row r="20" spans="1:5" s="11" customFormat="1" ht="15.6" customHeight="1">
      <c r="A20" s="110"/>
      <c r="B20" s="46" t="s">
        <v>133</v>
      </c>
      <c r="C20" s="47" t="s">
        <v>134</v>
      </c>
      <c r="D20" s="47" t="s">
        <v>135</v>
      </c>
      <c r="E20" s="48"/>
    </row>
    <row r="21" spans="1:5" s="11" customFormat="1" ht="15.6" customHeight="1">
      <c r="A21" s="110"/>
      <c r="B21" s="46" t="s">
        <v>136</v>
      </c>
      <c r="C21" s="47" t="s">
        <v>137</v>
      </c>
      <c r="D21" s="47" t="s">
        <v>138</v>
      </c>
      <c r="E21" s="48"/>
    </row>
    <row r="22" spans="1:5" s="11" customFormat="1" ht="15.6" customHeight="1">
      <c r="A22" s="110"/>
      <c r="B22" s="46" t="s">
        <v>139</v>
      </c>
      <c r="C22" s="49" t="s">
        <v>140</v>
      </c>
      <c r="D22" s="49" t="s">
        <v>141</v>
      </c>
      <c r="E22" s="48"/>
    </row>
    <row r="23" spans="1:5" s="11" customFormat="1" ht="15.6" customHeight="1">
      <c r="A23" s="110"/>
      <c r="B23" s="46" t="s">
        <v>142</v>
      </c>
      <c r="C23" s="49" t="s">
        <v>143</v>
      </c>
      <c r="D23" s="49" t="s">
        <v>144</v>
      </c>
      <c r="E23" s="48"/>
    </row>
    <row r="24" spans="1:5" s="52" customFormat="1" ht="15" customHeight="1">
      <c r="A24" s="112" t="s">
        <v>145</v>
      </c>
      <c r="B24" s="50" t="s">
        <v>146</v>
      </c>
      <c r="C24" s="51" t="s">
        <v>147</v>
      </c>
      <c r="D24" s="51" t="s">
        <v>148</v>
      </c>
    </row>
    <row r="25" spans="1:5" s="52" customFormat="1" ht="15" customHeight="1">
      <c r="A25" s="113"/>
      <c r="B25" s="50" t="s">
        <v>149</v>
      </c>
      <c r="C25" s="51" t="s">
        <v>150</v>
      </c>
      <c r="D25" s="51" t="s">
        <v>151</v>
      </c>
    </row>
    <row r="26" spans="1:5" s="52" customFormat="1" ht="15" customHeight="1">
      <c r="A26" s="113"/>
      <c r="B26" s="50" t="s">
        <v>152</v>
      </c>
      <c r="C26" s="51" t="s">
        <v>153</v>
      </c>
      <c r="D26" s="51" t="s">
        <v>154</v>
      </c>
    </row>
    <row r="27" spans="1:5" s="52" customFormat="1" ht="15" customHeight="1">
      <c r="A27" s="113"/>
      <c r="B27" s="50" t="s">
        <v>155</v>
      </c>
      <c r="C27" s="51" t="s">
        <v>156</v>
      </c>
      <c r="D27" s="51" t="s">
        <v>157</v>
      </c>
    </row>
    <row r="28" spans="1:5" s="52" customFormat="1" ht="15" customHeight="1">
      <c r="A28" s="113"/>
      <c r="B28" s="50" t="s">
        <v>158</v>
      </c>
      <c r="C28" s="51" t="s">
        <v>159</v>
      </c>
      <c r="D28" s="51" t="s">
        <v>160</v>
      </c>
    </row>
    <row r="29" spans="1:5" s="52" customFormat="1" ht="15" customHeight="1">
      <c r="A29" s="113"/>
      <c r="B29" s="50" t="s">
        <v>161</v>
      </c>
      <c r="C29" s="51" t="s">
        <v>162</v>
      </c>
      <c r="D29" s="51" t="s">
        <v>163</v>
      </c>
    </row>
    <row r="30" spans="1:5" s="52" customFormat="1" ht="15.6" customHeight="1">
      <c r="A30" s="113"/>
      <c r="B30" s="50" t="s">
        <v>164</v>
      </c>
      <c r="C30" s="51" t="s">
        <v>165</v>
      </c>
      <c r="D30" s="51" t="s">
        <v>166</v>
      </c>
    </row>
    <row r="31" spans="1:5" s="52" customFormat="1" ht="15.6" customHeight="1">
      <c r="A31" s="113"/>
      <c r="B31" s="50" t="s">
        <v>167</v>
      </c>
      <c r="C31" s="51" t="s">
        <v>168</v>
      </c>
      <c r="D31" s="51" t="s">
        <v>169</v>
      </c>
    </row>
    <row r="32" spans="1:5" s="52" customFormat="1" ht="15.6" customHeight="1">
      <c r="A32" s="113"/>
      <c r="B32" s="50" t="s">
        <v>170</v>
      </c>
      <c r="C32" s="51" t="s">
        <v>171</v>
      </c>
      <c r="D32" s="51" t="s">
        <v>172</v>
      </c>
    </row>
    <row r="33" spans="1:4" s="52" customFormat="1" ht="15.6" customHeight="1">
      <c r="A33" s="113"/>
      <c r="B33" s="50" t="s">
        <v>173</v>
      </c>
      <c r="C33" s="51" t="s">
        <v>174</v>
      </c>
      <c r="D33" s="51" t="s">
        <v>175</v>
      </c>
    </row>
    <row r="34" spans="1:4" s="52" customFormat="1" ht="15.6" customHeight="1">
      <c r="A34" s="113"/>
      <c r="B34" s="50" t="s">
        <v>176</v>
      </c>
      <c r="C34" s="51" t="s">
        <v>177</v>
      </c>
      <c r="D34" s="51" t="s">
        <v>178</v>
      </c>
    </row>
    <row r="35" spans="1:4" s="52" customFormat="1" ht="15.6" customHeight="1">
      <c r="A35" s="113"/>
      <c r="B35" s="50" t="s">
        <v>179</v>
      </c>
      <c r="C35" s="51" t="s">
        <v>180</v>
      </c>
      <c r="D35" s="51" t="s">
        <v>181</v>
      </c>
    </row>
    <row r="36" spans="1:4" s="52" customFormat="1" ht="15.6" customHeight="1">
      <c r="A36" s="113"/>
      <c r="B36" s="50" t="s">
        <v>182</v>
      </c>
      <c r="C36" s="51" t="s">
        <v>183</v>
      </c>
      <c r="D36" s="51" t="s">
        <v>184</v>
      </c>
    </row>
    <row r="37" spans="1:4" s="52" customFormat="1" ht="15.6" customHeight="1">
      <c r="A37" s="113"/>
      <c r="B37" s="50" t="s">
        <v>185</v>
      </c>
      <c r="C37" s="51" t="s">
        <v>186</v>
      </c>
      <c r="D37" s="51" t="s">
        <v>187</v>
      </c>
    </row>
    <row r="38" spans="1:4" s="52" customFormat="1" ht="15.6" customHeight="1">
      <c r="A38" s="113"/>
      <c r="B38" s="50" t="s">
        <v>188</v>
      </c>
      <c r="C38" s="51" t="s">
        <v>189</v>
      </c>
      <c r="D38" s="51" t="s">
        <v>190</v>
      </c>
    </row>
    <row r="39" spans="1:4" s="52" customFormat="1" ht="15.6" customHeight="1">
      <c r="A39" s="113"/>
      <c r="B39" s="50" t="s">
        <v>191</v>
      </c>
      <c r="C39" s="51" t="s">
        <v>192</v>
      </c>
      <c r="D39" s="51" t="s">
        <v>193</v>
      </c>
    </row>
    <row r="40" spans="1:4" s="52" customFormat="1" ht="15.6" customHeight="1">
      <c r="A40" s="113"/>
      <c r="B40" s="50" t="s">
        <v>194</v>
      </c>
      <c r="C40" s="51" t="s">
        <v>195</v>
      </c>
      <c r="D40" s="51" t="s">
        <v>196</v>
      </c>
    </row>
    <row r="41" spans="1:4" s="52" customFormat="1" ht="15.6" customHeight="1">
      <c r="A41" s="113"/>
      <c r="B41" s="50" t="s">
        <v>197</v>
      </c>
      <c r="C41" s="51" t="s">
        <v>198</v>
      </c>
      <c r="D41" s="51" t="s">
        <v>199</v>
      </c>
    </row>
    <row r="42" spans="1:4" s="52" customFormat="1" ht="15.6" customHeight="1">
      <c r="A42" s="113"/>
      <c r="B42" s="50" t="s">
        <v>200</v>
      </c>
      <c r="C42" s="51" t="s">
        <v>201</v>
      </c>
      <c r="D42" s="51" t="s">
        <v>202</v>
      </c>
    </row>
    <row r="43" spans="1:4" s="52" customFormat="1" ht="15.6" customHeight="1">
      <c r="A43" s="113"/>
      <c r="B43" s="50" t="s">
        <v>203</v>
      </c>
      <c r="C43" s="51" t="s">
        <v>204</v>
      </c>
      <c r="D43" s="51" t="s">
        <v>205</v>
      </c>
    </row>
    <row r="44" spans="1:4" s="52" customFormat="1" ht="15.6" customHeight="1">
      <c r="A44" s="113"/>
      <c r="B44" s="50" t="s">
        <v>206</v>
      </c>
      <c r="C44" s="51" t="s">
        <v>207</v>
      </c>
      <c r="D44" s="51" t="s">
        <v>208</v>
      </c>
    </row>
    <row r="45" spans="1:4" s="52" customFormat="1" ht="15.6" customHeight="1">
      <c r="A45" s="113"/>
      <c r="B45" s="50" t="s">
        <v>209</v>
      </c>
      <c r="C45" s="51" t="s">
        <v>210</v>
      </c>
      <c r="D45" s="51" t="s">
        <v>211</v>
      </c>
    </row>
    <row r="46" spans="1:4" s="52" customFormat="1" ht="15.6" customHeight="1">
      <c r="A46" s="113"/>
      <c r="B46" s="50" t="s">
        <v>212</v>
      </c>
      <c r="C46" s="51" t="s">
        <v>213</v>
      </c>
      <c r="D46" s="51" t="s">
        <v>214</v>
      </c>
    </row>
    <row r="47" spans="1:4" s="52" customFormat="1" ht="15.6" customHeight="1">
      <c r="A47" s="113"/>
      <c r="B47" s="50" t="s">
        <v>215</v>
      </c>
      <c r="C47" s="51" t="s">
        <v>216</v>
      </c>
      <c r="D47" s="51" t="s">
        <v>217</v>
      </c>
    </row>
    <row r="48" spans="1:4" s="52" customFormat="1" ht="15.6" customHeight="1">
      <c r="A48" s="114"/>
      <c r="B48" s="50" t="s">
        <v>218</v>
      </c>
      <c r="C48" s="51"/>
      <c r="D48" s="51"/>
    </row>
    <row r="49" spans="1:4" s="52" customFormat="1" ht="15.6" customHeight="1">
      <c r="A49" s="53"/>
      <c r="B49" s="50" t="s">
        <v>219</v>
      </c>
      <c r="C49" s="49" t="s">
        <v>220</v>
      </c>
      <c r="D49" s="49" t="s">
        <v>221</v>
      </c>
    </row>
    <row r="50" spans="1:4" s="52" customFormat="1" ht="15.6" customHeight="1">
      <c r="A50" s="53"/>
      <c r="B50" s="50" t="s">
        <v>222</v>
      </c>
      <c r="C50" s="49" t="s">
        <v>223</v>
      </c>
      <c r="D50" s="49" t="s">
        <v>224</v>
      </c>
    </row>
    <row r="51" spans="1:4" s="52" customFormat="1" ht="15.6" customHeight="1">
      <c r="A51" s="53"/>
      <c r="B51" s="50" t="s">
        <v>225</v>
      </c>
      <c r="C51" s="49" t="s">
        <v>226</v>
      </c>
      <c r="D51" s="49" t="s">
        <v>227</v>
      </c>
    </row>
    <row r="52" spans="1:4" s="52" customFormat="1" ht="15.6" customHeight="1">
      <c r="A52" s="53"/>
      <c r="B52" s="50" t="s">
        <v>228</v>
      </c>
      <c r="C52" s="49" t="s">
        <v>229</v>
      </c>
      <c r="D52" s="49" t="s">
        <v>230</v>
      </c>
    </row>
    <row r="53" spans="1:4" s="52" customFormat="1" ht="15.6" customHeight="1">
      <c r="A53" s="53"/>
      <c r="B53" s="50" t="s">
        <v>231</v>
      </c>
      <c r="C53" s="49" t="s">
        <v>232</v>
      </c>
      <c r="D53" s="49" t="s">
        <v>233</v>
      </c>
    </row>
    <row r="54" spans="1:4" s="52" customFormat="1" ht="15.6" customHeight="1">
      <c r="A54" s="53"/>
      <c r="B54" s="50" t="s">
        <v>234</v>
      </c>
      <c r="C54" s="51"/>
      <c r="D54" s="51"/>
    </row>
    <row r="55" spans="1:4" s="52" customFormat="1" ht="15.6" customHeight="1">
      <c r="A55" s="53"/>
      <c r="B55" s="50" t="s">
        <v>235</v>
      </c>
      <c r="C55" s="51"/>
      <c r="D55" s="51"/>
    </row>
    <row r="56" spans="1:4" s="52" customFormat="1" ht="15.6" customHeight="1">
      <c r="A56" s="53" t="s">
        <v>236</v>
      </c>
      <c r="B56" s="50" t="s">
        <v>237</v>
      </c>
      <c r="C56" s="51"/>
      <c r="D56" s="51"/>
    </row>
    <row r="57" spans="1:4" s="52" customFormat="1" ht="15.6" customHeight="1">
      <c r="A57" s="53"/>
      <c r="B57" s="50" t="s">
        <v>238</v>
      </c>
      <c r="C57" s="51"/>
      <c r="D57" s="51"/>
    </row>
    <row r="58" spans="1:4" s="52" customFormat="1" ht="15.6" customHeight="1">
      <c r="A58" s="53"/>
      <c r="B58" s="50" t="s">
        <v>239</v>
      </c>
      <c r="C58" s="51"/>
      <c r="D58" s="51"/>
    </row>
    <row r="59" spans="1:4" s="52" customFormat="1" ht="15.6" customHeight="1">
      <c r="A59" s="53"/>
      <c r="B59" s="50"/>
      <c r="C59" s="51"/>
      <c r="D59" s="51"/>
    </row>
    <row r="60" spans="1:4" s="56" customFormat="1" ht="15" customHeight="1">
      <c r="A60" s="115" t="s">
        <v>240</v>
      </c>
      <c r="B60" s="54" t="s">
        <v>241</v>
      </c>
      <c r="C60" s="55" t="s">
        <v>242</v>
      </c>
      <c r="D60" s="55" t="s">
        <v>243</v>
      </c>
    </row>
    <row r="61" spans="1:4" s="56" customFormat="1" ht="15" customHeight="1">
      <c r="A61" s="116"/>
      <c r="B61" s="54" t="s">
        <v>244</v>
      </c>
      <c r="C61" s="55" t="s">
        <v>245</v>
      </c>
      <c r="D61" s="55" t="s">
        <v>246</v>
      </c>
    </row>
    <row r="62" spans="1:4" s="56" customFormat="1" ht="15" customHeight="1">
      <c r="A62" s="116"/>
      <c r="B62" s="54" t="s">
        <v>247</v>
      </c>
      <c r="C62" s="55" t="s">
        <v>248</v>
      </c>
      <c r="D62" s="55" t="s">
        <v>249</v>
      </c>
    </row>
    <row r="63" spans="1:4" s="56" customFormat="1" ht="15" customHeight="1">
      <c r="A63" s="116"/>
      <c r="B63" s="54" t="s">
        <v>250</v>
      </c>
      <c r="C63" s="55" t="s">
        <v>251</v>
      </c>
      <c r="D63" s="55" t="s">
        <v>252</v>
      </c>
    </row>
    <row r="64" spans="1:4" s="56" customFormat="1" ht="15" customHeight="1">
      <c r="A64" s="116"/>
      <c r="B64" s="54" t="s">
        <v>253</v>
      </c>
      <c r="C64" s="55" t="s">
        <v>254</v>
      </c>
      <c r="D64" s="55" t="s">
        <v>255</v>
      </c>
    </row>
    <row r="65" spans="1:4" s="56" customFormat="1" ht="15" customHeight="1">
      <c r="A65" s="116"/>
      <c r="B65" s="54" t="s">
        <v>256</v>
      </c>
      <c r="C65" s="55" t="s">
        <v>257</v>
      </c>
      <c r="D65" s="55" t="s">
        <v>258</v>
      </c>
    </row>
    <row r="66" spans="1:4" s="56" customFormat="1" ht="15" customHeight="1">
      <c r="A66" s="116"/>
      <c r="B66" s="54" t="s">
        <v>259</v>
      </c>
      <c r="C66" s="55" t="s">
        <v>260</v>
      </c>
      <c r="D66" s="55" t="s">
        <v>261</v>
      </c>
    </row>
    <row r="67" spans="1:4" s="56" customFormat="1" ht="15" customHeight="1">
      <c r="A67" s="116"/>
      <c r="B67" s="54" t="s">
        <v>262</v>
      </c>
      <c r="C67" s="55" t="s">
        <v>263</v>
      </c>
      <c r="D67" s="55" t="s">
        <v>264</v>
      </c>
    </row>
    <row r="68" spans="1:4" s="56" customFormat="1" ht="15" customHeight="1">
      <c r="A68" s="116"/>
      <c r="B68" s="54" t="s">
        <v>265</v>
      </c>
      <c r="C68" s="55" t="s">
        <v>266</v>
      </c>
      <c r="D68" s="55" t="s">
        <v>267</v>
      </c>
    </row>
    <row r="69" spans="1:4" s="56" customFormat="1" ht="15" customHeight="1">
      <c r="A69" s="116"/>
      <c r="B69" s="54" t="s">
        <v>268</v>
      </c>
      <c r="C69" s="55" t="s">
        <v>269</v>
      </c>
      <c r="D69" s="55" t="s">
        <v>270</v>
      </c>
    </row>
    <row r="70" spans="1:4" s="56" customFormat="1" ht="15" customHeight="1">
      <c r="A70" s="116"/>
      <c r="B70" s="54" t="s">
        <v>271</v>
      </c>
      <c r="C70" s="55" t="s">
        <v>272</v>
      </c>
      <c r="D70" s="55" t="s">
        <v>273</v>
      </c>
    </row>
    <row r="71" spans="1:4" s="56" customFormat="1" ht="15" customHeight="1">
      <c r="A71" s="116"/>
      <c r="B71" s="54" t="s">
        <v>274</v>
      </c>
      <c r="C71" s="55"/>
      <c r="D71" s="55"/>
    </row>
    <row r="72" spans="1:4" s="56" customFormat="1" ht="15" customHeight="1">
      <c r="A72" s="116"/>
      <c r="B72" s="54"/>
      <c r="C72" s="55"/>
      <c r="D72" s="55"/>
    </row>
    <row r="73" spans="1:4" s="56" customFormat="1" ht="15">
      <c r="A73" s="109" t="s">
        <v>275</v>
      </c>
      <c r="B73" s="54" t="s">
        <v>276</v>
      </c>
      <c r="C73" s="55" t="s">
        <v>277</v>
      </c>
      <c r="D73" s="55" t="s">
        <v>278</v>
      </c>
    </row>
    <row r="74" spans="1:4" s="56" customFormat="1" ht="15">
      <c r="A74" s="109"/>
      <c r="B74" s="54" t="s">
        <v>279</v>
      </c>
      <c r="C74" s="55" t="s">
        <v>280</v>
      </c>
      <c r="D74" s="55" t="s">
        <v>281</v>
      </c>
    </row>
    <row r="75" spans="1:4" s="56" customFormat="1" ht="15">
      <c r="A75" s="109"/>
      <c r="B75" s="54" t="s">
        <v>282</v>
      </c>
      <c r="C75" s="55" t="s">
        <v>283</v>
      </c>
      <c r="D75" s="55" t="s">
        <v>284</v>
      </c>
    </row>
    <row r="76" spans="1:4" s="56" customFormat="1" ht="15">
      <c r="A76" s="109"/>
      <c r="B76" s="54" t="s">
        <v>285</v>
      </c>
      <c r="C76" s="55" t="s">
        <v>286</v>
      </c>
      <c r="D76" s="55" t="s">
        <v>287</v>
      </c>
    </row>
    <row r="77" spans="1:4" s="56" customFormat="1" ht="15">
      <c r="A77" s="109"/>
      <c r="B77" s="54" t="s">
        <v>288</v>
      </c>
      <c r="C77" s="55" t="s">
        <v>289</v>
      </c>
      <c r="D77" s="55" t="s">
        <v>290</v>
      </c>
    </row>
    <row r="78" spans="1:4" s="56" customFormat="1" ht="15">
      <c r="A78" s="109"/>
      <c r="B78" s="54" t="s">
        <v>291</v>
      </c>
      <c r="C78" s="55" t="s">
        <v>292</v>
      </c>
      <c r="D78" s="55" t="s">
        <v>293</v>
      </c>
    </row>
    <row r="79" spans="1:4" s="56" customFormat="1" ht="15">
      <c r="A79" s="109"/>
      <c r="B79" s="54" t="s">
        <v>294</v>
      </c>
      <c r="C79" s="55" t="s">
        <v>295</v>
      </c>
      <c r="D79" s="55" t="s">
        <v>296</v>
      </c>
    </row>
    <row r="80" spans="1:4" s="56" customFormat="1" ht="15">
      <c r="A80" s="109"/>
      <c r="B80" s="54" t="s">
        <v>297</v>
      </c>
      <c r="C80" s="55" t="s">
        <v>298</v>
      </c>
      <c r="D80" s="55" t="s">
        <v>299</v>
      </c>
    </row>
    <row r="81" spans="1:4" s="56" customFormat="1" ht="15">
      <c r="A81" s="109"/>
      <c r="B81" s="54" t="s">
        <v>300</v>
      </c>
      <c r="C81" s="55" t="s">
        <v>301</v>
      </c>
      <c r="D81" s="55" t="s">
        <v>302</v>
      </c>
    </row>
    <row r="82" spans="1:4" s="56" customFormat="1" ht="15">
      <c r="A82" s="109"/>
      <c r="B82" s="54" t="s">
        <v>303</v>
      </c>
      <c r="C82" s="55" t="s">
        <v>304</v>
      </c>
      <c r="D82" s="55" t="s">
        <v>305</v>
      </c>
    </row>
    <row r="83" spans="1:4" s="56" customFormat="1" ht="15">
      <c r="A83" s="109"/>
      <c r="B83" s="54" t="s">
        <v>306</v>
      </c>
      <c r="C83" s="55" t="s">
        <v>307</v>
      </c>
      <c r="D83" s="55" t="s">
        <v>308</v>
      </c>
    </row>
    <row r="84" spans="1:4" s="56" customFormat="1" ht="15">
      <c r="A84" s="109"/>
      <c r="B84" s="54" t="s">
        <v>309</v>
      </c>
      <c r="C84" s="55" t="s">
        <v>310</v>
      </c>
      <c r="D84" s="55" t="s">
        <v>311</v>
      </c>
    </row>
    <row r="85" spans="1:4" s="56" customFormat="1" ht="15">
      <c r="A85" s="109"/>
      <c r="B85" s="54" t="s">
        <v>312</v>
      </c>
      <c r="C85" s="55" t="s">
        <v>313</v>
      </c>
      <c r="D85" s="55" t="s">
        <v>314</v>
      </c>
    </row>
    <row r="86" spans="1:4" s="56" customFormat="1" ht="15">
      <c r="A86" s="109"/>
      <c r="B86" s="54" t="s">
        <v>315</v>
      </c>
      <c r="C86" s="55" t="s">
        <v>316</v>
      </c>
      <c r="D86" s="55" t="s">
        <v>317</v>
      </c>
    </row>
    <row r="87" spans="1:4" s="56" customFormat="1" ht="15">
      <c r="A87" s="109"/>
      <c r="B87" s="54" t="s">
        <v>318</v>
      </c>
      <c r="C87" s="55" t="s">
        <v>319</v>
      </c>
      <c r="D87" s="55" t="s">
        <v>320</v>
      </c>
    </row>
    <row r="88" spans="1:4" s="56" customFormat="1" ht="15">
      <c r="A88" s="109"/>
      <c r="B88" s="54" t="s">
        <v>321</v>
      </c>
      <c r="C88" s="55" t="s">
        <v>322</v>
      </c>
      <c r="D88" s="55" t="s">
        <v>323</v>
      </c>
    </row>
    <row r="89" spans="1:4" s="56" customFormat="1" ht="15">
      <c r="A89" s="109"/>
      <c r="B89" s="54" t="s">
        <v>324</v>
      </c>
      <c r="C89" s="55" t="s">
        <v>325</v>
      </c>
      <c r="D89" s="55" t="s">
        <v>326</v>
      </c>
    </row>
    <row r="90" spans="1:4" s="56" customFormat="1" ht="15">
      <c r="A90" s="109"/>
      <c r="B90" s="54" t="s">
        <v>327</v>
      </c>
      <c r="C90" s="55" t="s">
        <v>328</v>
      </c>
      <c r="D90" s="55" t="s">
        <v>329</v>
      </c>
    </row>
    <row r="91" spans="1:4" s="56" customFormat="1" ht="15">
      <c r="A91" s="109"/>
      <c r="B91" s="54" t="s">
        <v>330</v>
      </c>
      <c r="C91" s="55"/>
      <c r="D91" s="55"/>
    </row>
    <row r="92" spans="1:4" s="56" customFormat="1" ht="15">
      <c r="A92" s="109" t="s">
        <v>331</v>
      </c>
      <c r="B92" s="54" t="s">
        <v>332</v>
      </c>
      <c r="C92" s="55" t="s">
        <v>333</v>
      </c>
      <c r="D92" s="55" t="s">
        <v>334</v>
      </c>
    </row>
    <row r="93" spans="1:4" s="56" customFormat="1" ht="15">
      <c r="A93" s="109"/>
      <c r="B93" s="54" t="s">
        <v>335</v>
      </c>
      <c r="C93" s="55" t="s">
        <v>336</v>
      </c>
      <c r="D93" s="55" t="s">
        <v>337</v>
      </c>
    </row>
    <row r="94" spans="1:4" s="56" customFormat="1" ht="15">
      <c r="A94" s="109"/>
      <c r="B94" s="54" t="s">
        <v>338</v>
      </c>
      <c r="C94" s="55" t="s">
        <v>339</v>
      </c>
      <c r="D94" s="55" t="s">
        <v>340</v>
      </c>
    </row>
    <row r="95" spans="1:4" s="56" customFormat="1" ht="15">
      <c r="A95" s="109"/>
      <c r="B95" s="54" t="s">
        <v>341</v>
      </c>
      <c r="C95" s="55" t="s">
        <v>342</v>
      </c>
      <c r="D95" s="55" t="s">
        <v>343</v>
      </c>
    </row>
    <row r="96" spans="1:4" s="56" customFormat="1" ht="15">
      <c r="A96" s="109"/>
      <c r="B96" s="54" t="s">
        <v>344</v>
      </c>
      <c r="C96" s="55" t="s">
        <v>345</v>
      </c>
      <c r="D96" s="55" t="s">
        <v>346</v>
      </c>
    </row>
    <row r="97" spans="1:4" s="56" customFormat="1" ht="15">
      <c r="A97" s="109"/>
      <c r="B97" s="54" t="s">
        <v>347</v>
      </c>
      <c r="C97" s="55" t="s">
        <v>348</v>
      </c>
      <c r="D97" s="55" t="s">
        <v>349</v>
      </c>
    </row>
    <row r="98" spans="1:4" s="56" customFormat="1" ht="15">
      <c r="A98" s="109"/>
      <c r="B98" s="54" t="s">
        <v>350</v>
      </c>
      <c r="C98" s="55" t="s">
        <v>351</v>
      </c>
      <c r="D98" s="55" t="s">
        <v>352</v>
      </c>
    </row>
    <row r="99" spans="1:4" s="56" customFormat="1" ht="15">
      <c r="A99" s="109"/>
      <c r="B99" s="54" t="s">
        <v>353</v>
      </c>
      <c r="C99" s="55" t="s">
        <v>354</v>
      </c>
      <c r="D99" s="55" t="s">
        <v>355</v>
      </c>
    </row>
  </sheetData>
  <mergeCells count="6">
    <mergeCell ref="A92:A99"/>
    <mergeCell ref="A2:A23"/>
    <mergeCell ref="E2:E7"/>
    <mergeCell ref="A24:A48"/>
    <mergeCell ref="A60:A72"/>
    <mergeCell ref="A73:A9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86E6-15DF-4EDC-839F-49EE947E1F98}">
  <dimension ref="A1:B13"/>
  <sheetViews>
    <sheetView workbookViewId="0">
      <selection activeCell="G14" sqref="G14"/>
    </sheetView>
  </sheetViews>
  <sheetFormatPr defaultRowHeight="14.4"/>
  <cols>
    <col min="1" max="1" width="20.77734375" customWidth="1"/>
    <col min="2" max="2" width="40.5546875" customWidth="1"/>
  </cols>
  <sheetData>
    <row r="1" spans="1:2">
      <c r="A1" s="62" t="s">
        <v>427</v>
      </c>
      <c r="B1" s="62" t="s">
        <v>428</v>
      </c>
    </row>
    <row r="2" spans="1:2">
      <c r="A2" s="91" t="s">
        <v>417</v>
      </c>
      <c r="B2" s="92" t="s">
        <v>429</v>
      </c>
    </row>
    <row r="3" spans="1:2">
      <c r="A3" s="91" t="s">
        <v>416</v>
      </c>
      <c r="B3" s="92" t="s">
        <v>430</v>
      </c>
    </row>
    <row r="4" spans="1:2">
      <c r="A4" s="91" t="s">
        <v>419</v>
      </c>
      <c r="B4" s="92" t="s">
        <v>431</v>
      </c>
    </row>
    <row r="5" spans="1:2">
      <c r="A5" s="91" t="s">
        <v>418</v>
      </c>
      <c r="B5" s="92" t="s">
        <v>432</v>
      </c>
    </row>
    <row r="6" spans="1:2">
      <c r="A6" s="91" t="s">
        <v>420</v>
      </c>
      <c r="B6" s="92" t="s">
        <v>433</v>
      </c>
    </row>
    <row r="7" spans="1:2">
      <c r="A7" s="91" t="s">
        <v>421</v>
      </c>
      <c r="B7" s="92" t="s">
        <v>438</v>
      </c>
    </row>
    <row r="8" spans="1:2">
      <c r="A8" s="91" t="s">
        <v>422</v>
      </c>
      <c r="B8" s="92" t="s">
        <v>437</v>
      </c>
    </row>
    <row r="9" spans="1:2">
      <c r="A9" s="91" t="s">
        <v>423</v>
      </c>
      <c r="B9" s="92" t="s">
        <v>436</v>
      </c>
    </row>
    <row r="10" spans="1:2">
      <c r="A10" s="91" t="s">
        <v>424</v>
      </c>
      <c r="B10" s="92" t="s">
        <v>434</v>
      </c>
    </row>
    <row r="11" spans="1:2">
      <c r="A11" s="91" t="s">
        <v>426</v>
      </c>
      <c r="B11" s="92" t="s">
        <v>435</v>
      </c>
    </row>
    <row r="12" spans="1:2">
      <c r="A12" s="91" t="s">
        <v>425</v>
      </c>
      <c r="B12" s="92" t="s">
        <v>441</v>
      </c>
    </row>
    <row r="13" spans="1:2">
      <c r="A13" s="93" t="s">
        <v>439</v>
      </c>
      <c r="B13" s="94" t="s">
        <v>440</v>
      </c>
    </row>
  </sheetData>
  <hyperlinks>
    <hyperlink ref="B2" r:id="rId1" xr:uid="{CE4210E7-7D04-4920-BCD2-3854DFCDFFD6}"/>
    <hyperlink ref="B3" r:id="rId2" xr:uid="{5DE5CF3A-11F5-4589-A61D-4B884AE5A399}"/>
    <hyperlink ref="B4" r:id="rId3" xr:uid="{1A725613-0D6B-45BE-8E1C-09E652E1F000}"/>
    <hyperlink ref="B5" r:id="rId4" xr:uid="{02EBC0AD-5075-410C-BF49-E9720E127064}"/>
    <hyperlink ref="B6" r:id="rId5" xr:uid="{F7BD5958-EC6D-4339-BEC8-C49067DAC039}"/>
    <hyperlink ref="B10" r:id="rId6" xr:uid="{77706EB5-D09E-4208-8A35-38C812142F81}"/>
    <hyperlink ref="B11" r:id="rId7" xr:uid="{9B53EC56-1797-48F4-B16D-27E73647B495}"/>
    <hyperlink ref="B9" r:id="rId8" xr:uid="{BCF08E42-B343-493A-96C7-7636DB1F1C18}"/>
    <hyperlink ref="B8" r:id="rId9" xr:uid="{CBCDB3E7-210D-460A-9414-0979D53ECD93}"/>
    <hyperlink ref="B7" r:id="rId10" xr:uid="{EAF011C0-D530-40A6-80B9-C260C65AAFDF}"/>
    <hyperlink ref="B13" r:id="rId11" xr:uid="{CA3F79CC-E1F7-49FF-BB40-7BE6AFD0CA00}"/>
    <hyperlink ref="B12" r:id="rId12" xr:uid="{82796C1A-25CF-4C42-A6E0-7E3F64532C1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22FB3-9C35-4FFE-BB45-AD3A753C85B8}">
  <dimension ref="E2:O26"/>
  <sheetViews>
    <sheetView workbookViewId="0">
      <selection activeCell="O14" sqref="O14"/>
    </sheetView>
  </sheetViews>
  <sheetFormatPr defaultRowHeight="14.4"/>
  <sheetData>
    <row r="2" spans="5:15"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</row>
    <row r="3" spans="5:15"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5:15"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</row>
    <row r="5" spans="5:15"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5:15"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</row>
    <row r="7" spans="5:15"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</row>
    <row r="8" spans="5:15"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</row>
    <row r="9" spans="5:15"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</row>
    <row r="10" spans="5:15"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</row>
    <row r="11" spans="5:15"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</row>
    <row r="12" spans="5:15"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</row>
    <row r="13" spans="5:15"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</row>
    <row r="14" spans="5:15"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</row>
    <row r="15" spans="5:15"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</row>
    <row r="16" spans="5:15"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</row>
    <row r="17" spans="5:15"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</row>
    <row r="18" spans="5:15"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</row>
    <row r="19" spans="5:15"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</row>
    <row r="20" spans="5:15"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</row>
    <row r="21" spans="5:15"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</row>
    <row r="22" spans="5:15"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</row>
    <row r="23" spans="5:15">
      <c r="E23" s="61"/>
      <c r="F23" s="61"/>
      <c r="G23" s="61"/>
      <c r="H23" s="61"/>
      <c r="I23" s="61"/>
      <c r="J23" s="61"/>
      <c r="K23" s="83" t="s">
        <v>413</v>
      </c>
      <c r="L23" s="117" t="s">
        <v>409</v>
      </c>
      <c r="M23" s="117"/>
      <c r="N23" s="61"/>
      <c r="O23" s="61"/>
    </row>
    <row r="24" spans="5:15">
      <c r="E24" s="61"/>
      <c r="F24" s="61"/>
      <c r="G24" s="61"/>
      <c r="H24" s="61"/>
      <c r="I24" s="61"/>
      <c r="J24" s="61"/>
      <c r="K24" s="84" t="s">
        <v>410</v>
      </c>
      <c r="L24" s="117" t="s">
        <v>411</v>
      </c>
      <c r="M24" s="117"/>
      <c r="N24" s="61"/>
      <c r="O24" s="61"/>
    </row>
    <row r="25" spans="5:15">
      <c r="E25" s="61"/>
      <c r="F25" s="61"/>
      <c r="G25" s="61"/>
      <c r="H25" s="61"/>
      <c r="I25" s="61"/>
      <c r="J25" s="61"/>
      <c r="K25" s="85" t="s">
        <v>410</v>
      </c>
      <c r="L25" s="117" t="s">
        <v>412</v>
      </c>
      <c r="M25" s="117"/>
      <c r="N25" s="61"/>
      <c r="O25" s="61"/>
    </row>
    <row r="26" spans="5:15"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</row>
  </sheetData>
  <mergeCells count="3">
    <mergeCell ref="L23:M23"/>
    <mergeCell ref="L24:M24"/>
    <mergeCell ref="L25:M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Vốn ban đầu</vt:lpstr>
      <vt:lpstr>Huy động vốn</vt:lpstr>
      <vt:lpstr>Chia cổ tức</vt:lpstr>
      <vt:lpstr>Quản lý ví Near</vt:lpstr>
      <vt:lpstr>Quản lý ví avax</vt:lpstr>
      <vt:lpstr>Tài sản Quỹ</vt:lpstr>
      <vt:lpstr>Kênh line</vt:lpstr>
      <vt:lpstr>kênh tele</vt:lpstr>
      <vt:lpstr>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THIEN</cp:lastModifiedBy>
  <dcterms:created xsi:type="dcterms:W3CDTF">2021-10-26T03:49:58Z</dcterms:created>
  <dcterms:modified xsi:type="dcterms:W3CDTF">2022-08-11T15:39:44Z</dcterms:modified>
</cp:coreProperties>
</file>