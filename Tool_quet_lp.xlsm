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annp1\Downloads\"/>
    </mc:Choice>
  </mc:AlternateContent>
  <xr:revisionPtr revIDLastSave="0" documentId="13_ncr:1_{19AA6878-B02E-4338-B71A-B9F6D27D81CF}" xr6:coauthVersionLast="47" xr6:coauthVersionMax="47" xr10:uidLastSave="{00000000-0000-0000-0000-000000000000}"/>
  <bookViews>
    <workbookView xWindow="-108" yWindow="-108" windowWidth="23256" windowHeight="12456" xr2:uid="{B1A876F4-B62C-4B94-9827-DD052AB4C0D7}"/>
  </bookViews>
  <sheets>
    <sheet name="Tài sản Quỹ" sheetId="2" r:id="rId1"/>
    <sheet name="Quản lý ví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2" l="1"/>
  <c r="E6" i="2"/>
  <c r="E5" i="2"/>
  <c r="E4" i="2"/>
  <c r="G3" i="2"/>
  <c r="H2" i="2" s="1"/>
  <c r="H8" i="2" s="1"/>
  <c r="E3" i="2"/>
  <c r="L2" i="2"/>
  <c r="G3" i="1"/>
  <c r="E19" i="1"/>
  <c r="G19" i="1" s="1"/>
  <c r="E18" i="1"/>
  <c r="G18" i="1" s="1"/>
  <c r="E17" i="1"/>
  <c r="G17" i="1" s="1"/>
  <c r="E16" i="1"/>
  <c r="G16" i="1" s="1"/>
  <c r="E15" i="1"/>
  <c r="G15" i="1" s="1"/>
  <c r="E14" i="1"/>
  <c r="G14" i="1" s="1"/>
  <c r="E13" i="1"/>
  <c r="G13" i="1" s="1"/>
  <c r="E12" i="1"/>
  <c r="G12" i="1" s="1"/>
  <c r="E11" i="1"/>
  <c r="G11" i="1" s="1"/>
  <c r="E10" i="1"/>
  <c r="G10" i="1" s="1"/>
  <c r="E9" i="1"/>
  <c r="G9" i="1" s="1"/>
  <c r="E8" i="1"/>
  <c r="G8" i="1" s="1"/>
  <c r="E7" i="1"/>
  <c r="G7" i="1" s="1"/>
  <c r="E6" i="1"/>
  <c r="G6" i="1" s="1"/>
  <c r="E5" i="1"/>
  <c r="G5" i="1" s="1"/>
  <c r="E4" i="1"/>
  <c r="G4" i="1" s="1"/>
  <c r="L2" i="1"/>
  <c r="H5" i="2" l="1"/>
  <c r="H6" i="2"/>
  <c r="M2" i="2"/>
  <c r="H4" i="2"/>
  <c r="H7" i="2"/>
  <c r="H3" i="2"/>
  <c r="H2" i="1"/>
  <c r="H5" i="1" l="1"/>
  <c r="H3" i="1"/>
  <c r="H17" i="1"/>
  <c r="H9" i="1"/>
  <c r="H19" i="1"/>
  <c r="H7" i="1"/>
  <c r="H18" i="1"/>
  <c r="H11" i="1"/>
  <c r="H8" i="1"/>
  <c r="H14" i="1"/>
  <c r="H4" i="1"/>
  <c r="H10" i="1"/>
  <c r="H12" i="1"/>
  <c r="H16" i="1"/>
  <c r="H13" i="1"/>
  <c r="H15" i="1"/>
  <c r="H6" i="1"/>
</calcChain>
</file>

<file path=xl/sharedStrings.xml><?xml version="1.0" encoding="utf-8"?>
<sst xmlns="http://schemas.openxmlformats.org/spreadsheetml/2006/main" count="98" uniqueCount="61">
  <si>
    <t>TỔNG HỢP VÍ  NHÀ ĐẦU TƯ</t>
  </si>
  <si>
    <t>Days:</t>
    <phoneticPr fontId="3"/>
  </si>
  <si>
    <t>Pool 3426</t>
    <phoneticPr fontId="3"/>
  </si>
  <si>
    <t>lpbot.near</t>
  </si>
  <si>
    <t>wrap.near</t>
  </si>
  <si>
    <t>Totalshares</t>
    <phoneticPr fontId="3"/>
  </si>
  <si>
    <t>Rate(near)</t>
    <phoneticPr fontId="3"/>
  </si>
  <si>
    <t>Nhà đầu tư</t>
  </si>
  <si>
    <t>chain</t>
  </si>
  <si>
    <t>địa chỉ ví near</t>
  </si>
  <si>
    <t>Pool
shares</t>
    <phoneticPr fontId="3"/>
  </si>
  <si>
    <t>to
LPB</t>
    <phoneticPr fontId="3"/>
  </si>
  <si>
    <t>Hodl
LPB</t>
    <phoneticPr fontId="3"/>
  </si>
  <si>
    <t>Total</t>
    <phoneticPr fontId="3"/>
  </si>
  <si>
    <t xml:space="preserve">Ví Quỹ </t>
  </si>
  <si>
    <t>near</t>
  </si>
  <si>
    <t>cpnear.near</t>
  </si>
  <si>
    <t>Ví team</t>
  </si>
  <si>
    <t>teambottrade.near</t>
    <phoneticPr fontId="3"/>
  </si>
  <si>
    <t>ví bot oct</t>
  </si>
  <si>
    <t>hanquock.near</t>
  </si>
  <si>
    <t>ví bot ref</t>
  </si>
  <si>
    <t>hanquocj.near</t>
  </si>
  <si>
    <t>ví bot paras</t>
  </si>
  <si>
    <t>hanquocz.near</t>
  </si>
  <si>
    <t>Ví Celo Near</t>
  </si>
  <si>
    <t>hanquocb.near</t>
  </si>
  <si>
    <t>Tuấn</t>
  </si>
  <si>
    <t>hanquockorean.near</t>
  </si>
  <si>
    <t>Thiện</t>
  </si>
  <si>
    <t>dxthienx1.near</t>
  </si>
  <si>
    <t>A Ngọc</t>
  </si>
  <si>
    <t>ngoctruong.near</t>
  </si>
  <si>
    <t>Long</t>
  </si>
  <si>
    <t>trader33tuoi.near</t>
  </si>
  <si>
    <t>Hiệu</t>
  </si>
  <si>
    <t>hieulucy.near</t>
  </si>
  <si>
    <t>Văn</t>
  </si>
  <si>
    <t>n2vc4b.near</t>
  </si>
  <si>
    <t>Tú</t>
  </si>
  <si>
    <t>tunguyen148.near</t>
  </si>
  <si>
    <t>Đạt</t>
  </si>
  <si>
    <t>tkd93.near</t>
  </si>
  <si>
    <t>A Hào</t>
  </si>
  <si>
    <t>crazy0123.near</t>
  </si>
  <si>
    <t>A Ngôn</t>
  </si>
  <si>
    <t>ngonnt.near</t>
  </si>
  <si>
    <t>lpbot.near</t>
    <phoneticPr fontId="3"/>
  </si>
  <si>
    <t>LPB locked</t>
    <phoneticPr fontId="3"/>
  </si>
  <si>
    <t>Update</t>
    <phoneticPr fontId="3"/>
  </si>
  <si>
    <r>
      <t>T</t>
    </r>
    <r>
      <rPr>
        <b/>
        <sz val="11"/>
        <color theme="1"/>
        <rFont val="Calibri"/>
        <family val="2"/>
      </rPr>
      <t>Ổ</t>
    </r>
    <r>
      <rPr>
        <b/>
        <sz val="11"/>
        <color theme="1"/>
        <rFont val="游ゴシック"/>
        <family val="3"/>
        <charset val="128"/>
        <scheme val="minor"/>
      </rPr>
      <t>NG H</t>
    </r>
    <r>
      <rPr>
        <b/>
        <sz val="11"/>
        <color theme="1"/>
        <rFont val="Calibri"/>
        <family val="2"/>
      </rPr>
      <t>Ợ</t>
    </r>
    <r>
      <rPr>
        <b/>
        <sz val="11"/>
        <color theme="1"/>
        <rFont val="游ゴシック"/>
        <family val="3"/>
        <charset val="128"/>
        <scheme val="minor"/>
      </rPr>
      <t>P TÀI S</t>
    </r>
    <r>
      <rPr>
        <b/>
        <sz val="11"/>
        <color theme="1"/>
        <rFont val="Calibri"/>
        <family val="3"/>
        <charset val="163"/>
      </rPr>
      <t>Ả</t>
    </r>
    <r>
      <rPr>
        <b/>
        <sz val="11"/>
        <color theme="1"/>
        <rFont val="游ゴシック"/>
        <family val="3"/>
        <charset val="128"/>
        <scheme val="minor"/>
      </rPr>
      <t>N QU</t>
    </r>
    <r>
      <rPr>
        <b/>
        <sz val="11"/>
        <color theme="1"/>
        <rFont val="Calibri"/>
        <family val="3"/>
        <charset val="163"/>
      </rPr>
      <t>Ỹ</t>
    </r>
    <phoneticPr fontId="3"/>
  </si>
  <si>
    <r>
      <t>Giá c</t>
    </r>
    <r>
      <rPr>
        <sz val="11"/>
        <color theme="1"/>
        <rFont val="Segoe UI"/>
        <family val="2"/>
        <charset val="238"/>
      </rPr>
      <t>ơ</t>
    </r>
    <r>
      <rPr>
        <sz val="11"/>
        <color theme="1"/>
        <rFont val="游ゴシック"/>
        <family val="2"/>
        <charset val="163"/>
        <scheme val="minor"/>
      </rPr>
      <t xml:space="preserve"> s</t>
    </r>
    <r>
      <rPr>
        <sz val="11"/>
        <color theme="1"/>
        <rFont val="Calibri"/>
        <family val="2"/>
        <charset val="163"/>
      </rPr>
      <t xml:space="preserve">ở
</t>
    </r>
    <r>
      <rPr>
        <sz val="11"/>
        <color theme="1"/>
        <rFont val="ＭＳ Ｐゴシック"/>
        <family val="2"/>
        <charset val="128"/>
      </rPr>
      <t>(NEAR)</t>
    </r>
    <phoneticPr fontId="3"/>
  </si>
  <si>
    <t>Ví con</t>
    <phoneticPr fontId="3"/>
  </si>
  <si>
    <t>Pool 3426
shares</t>
    <phoneticPr fontId="3"/>
  </si>
  <si>
    <t>Near shares</t>
    <phoneticPr fontId="3"/>
  </si>
  <si>
    <t>Hodl
Near</t>
    <phoneticPr fontId="3"/>
  </si>
  <si>
    <t>Total (NEAR)</t>
    <phoneticPr fontId="3"/>
  </si>
  <si>
    <t>Ví Binance Celo</t>
    <phoneticPr fontId="3"/>
  </si>
  <si>
    <t>Ví Mexc Celo</t>
    <phoneticPr fontId="3"/>
  </si>
  <si>
    <t>near</t>
    <phoneticPr fontId="3"/>
  </si>
  <si>
    <t>koreanb.near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</si>
</sst>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11" x14ac:knownFonts="1">
    <font>
      <sz val="11"/>
      <color theme="1"/>
      <name val="游ゴシック"/>
      <family val="2"/>
      <charset val="163"/>
      <scheme val="minor"/>
    </font>
    <font>
      <sz val="11"/>
      <color theme="1"/>
      <name val="游ゴシック"/>
      <family val="2"/>
      <charset val="163"/>
      <scheme val="minor"/>
    </font>
    <font>
      <b/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63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3"/>
      <charset val="163"/>
    </font>
    <font>
      <sz val="11"/>
      <color theme="1"/>
      <name val="Segoe UI"/>
      <family val="2"/>
      <charset val="238"/>
    </font>
    <font>
      <sz val="11"/>
      <color theme="1"/>
      <name val="Calibri"/>
      <family val="2"/>
      <charset val="163"/>
    </font>
    <font>
      <sz val="11"/>
      <color theme="1"/>
      <name val="ＭＳ Ｐゴシック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22" fontId="0" fillId="0" borderId="0" xfId="0" applyNumberFormat="1"/>
    <xf numFmtId="0" fontId="4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2" borderId="5" xfId="0" applyFill="1" applyBorder="1"/>
    <xf numFmtId="0" fontId="0" fillId="2" borderId="6" xfId="0" applyFill="1" applyBorder="1"/>
    <xf numFmtId="0" fontId="0" fillId="0" borderId="7" xfId="0" applyBorder="1"/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0" fillId="2" borderId="0" xfId="0" applyFill="1"/>
    <xf numFmtId="10" fontId="0" fillId="0" borderId="0" xfId="1" applyNumberFormat="1" applyFont="1"/>
    <xf numFmtId="0" fontId="0" fillId="0" borderId="0" xfId="0" applyAlignment="1">
      <alignment horizontal="left"/>
    </xf>
    <xf numFmtId="0" fontId="0" fillId="0" borderId="0" xfId="0" applyBorder="1"/>
    <xf numFmtId="176" fontId="0" fillId="0" borderId="0" xfId="1" applyNumberFormat="1" applyFont="1" applyAlignment="1"/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0" fontId="2" fillId="2" borderId="1" xfId="0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1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C80C276F-BDA2-48E1-82EC-40E922BA0A28}"/>
            </a:ext>
          </a:extLst>
        </xdr:cNvPr>
        <xdr:cNvSpPr/>
      </xdr:nvSpPr>
      <xdr:spPr>
        <a:xfrm>
          <a:off x="438912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Coin</a:t>
          </a:r>
          <a:endParaRPr kumimoji="1" lang="ja-JP" altLang="en-US" sz="1100"/>
        </a:p>
      </xdr:txBody>
    </xdr:sp>
    <xdr:clientData/>
  </xdr:twoCellAnchor>
  <xdr:twoCellAnchor>
    <xdr:from>
      <xdr:col>8</xdr:col>
      <xdr:colOff>601980</xdr:colOff>
      <xdr:row>5</xdr:row>
      <xdr:rowOff>91440</xdr:rowOff>
    </xdr:from>
    <xdr:to>
      <xdr:col>11</xdr:col>
      <xdr:colOff>525780</xdr:colOff>
      <xdr:row>20</xdr:row>
      <xdr:rowOff>114300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B4A17674-9853-4DE7-8028-4187A2AA6ECB}"/>
            </a:ext>
          </a:extLst>
        </xdr:cNvPr>
        <xdr:cNvSpPr/>
      </xdr:nvSpPr>
      <xdr:spPr>
        <a:xfrm>
          <a:off x="8702040" y="146304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Cach dung:</a:t>
          </a:r>
        </a:p>
        <a:p>
          <a:pPr algn="l"/>
          <a:r>
            <a:rPr kumimoji="1" lang="en-US" altLang="ja-JP" sz="1100"/>
            <a:t>1&gt; google install npm</a:t>
          </a:r>
        </a:p>
        <a:p>
          <a:pPr algn="l"/>
          <a:r>
            <a:rPr kumimoji="1" lang="en-US" altLang="ja-JP" sz="1100"/>
            <a:t>2&gt;Cai near-cli bang cmd:</a:t>
          </a:r>
        </a:p>
        <a:p>
          <a:pPr algn="l"/>
          <a:r>
            <a:rPr kumimoji="1" lang="en-US" altLang="ja-JP" sz="1100"/>
            <a:t>     &gt;npm install -g yarn</a:t>
          </a:r>
        </a:p>
        <a:p>
          <a:pPr algn="l"/>
          <a:r>
            <a:rPr kumimoji="1" lang="en-US" altLang="ja-JP" sz="1100"/>
            <a:t>     &gt;yarn</a:t>
          </a:r>
        </a:p>
        <a:p>
          <a:pPr algn="l"/>
          <a:r>
            <a:rPr kumimoji="1" lang="en-US" altLang="ja-JP" sz="1100"/>
            <a:t>     &gt;npm install -g near-cli</a:t>
          </a:r>
        </a:p>
        <a:p>
          <a:pPr algn="l"/>
          <a:r>
            <a:rPr kumimoji="1" lang="en-US" altLang="ja-JP" sz="1100"/>
            <a:t>3&gt; Bật</a:t>
          </a:r>
          <a:r>
            <a:rPr kumimoji="1" lang="en-US" altLang="ja-JP" sz="1100" baseline="0"/>
            <a:t> tắt lại excel này, </a:t>
          </a:r>
          <a:r>
            <a:rPr kumimoji="1" lang="en-US" altLang="ja-JP" sz="1100"/>
            <a:t>Bam nut [Reload LPB]</a:t>
          </a:r>
        </a:p>
        <a:p>
          <a:pPr algn="l"/>
          <a:r>
            <a:rPr kumimoji="1" lang="en-US" altLang="ja-JP" sz="1100"/>
            <a:t>   Macro se read dia chi vi trong blockchain, write vao vung mau Yellow</a:t>
          </a:r>
          <a:endParaRPr kumimoji="1" lang="ja-JP" altLang="en-US" sz="1100"/>
        </a:p>
      </xdr:txBody>
    </xdr:sp>
    <xdr:clientData/>
  </xdr:twoCellAnchor>
  <xdr:twoCellAnchor>
    <xdr:from>
      <xdr:col>4</xdr:col>
      <xdr:colOff>518160</xdr:colOff>
      <xdr:row>11</xdr:row>
      <xdr:rowOff>38100</xdr:rowOff>
    </xdr:from>
    <xdr:to>
      <xdr:col>6</xdr:col>
      <xdr:colOff>662940</xdr:colOff>
      <xdr:row>15</xdr:row>
      <xdr:rowOff>22860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96EC7C83-46AA-2E79-4C43-C9139DE1C28C}"/>
            </a:ext>
          </a:extLst>
        </xdr:cNvPr>
        <xdr:cNvSpPr/>
      </xdr:nvSpPr>
      <xdr:spPr>
        <a:xfrm>
          <a:off x="5593080" y="2964180"/>
          <a:ext cx="1485900" cy="899160"/>
        </a:xfrm>
        <a:prstGeom prst="wedgeRectCallout">
          <a:avLst>
            <a:gd name="adj1" fmla="val 33526"/>
            <a:gd name="adj2" fmla="val -1273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chỗ</a:t>
          </a:r>
          <a:r>
            <a:rPr kumimoji="1" lang="en-US" altLang="ja-JP" sz="1100" baseline="0"/>
            <a:t> này lấy vốn bên Thiện, do hén tổng hợp cả từ sàn nữa mới đúng.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BBC84B3A-B8FD-4D8C-9680-04F8ACF5472D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LPB</a:t>
          </a:r>
          <a:endParaRPr kumimoji="1" lang="ja-JP" altLang="en-US" sz="1100"/>
        </a:p>
      </xdr:txBody>
    </xdr:sp>
    <xdr:clientData/>
  </xdr:twoCellAnchor>
  <xdr:twoCellAnchor>
    <xdr:from>
      <xdr:col>8</xdr:col>
      <xdr:colOff>594360</xdr:colOff>
      <xdr:row>3</xdr:row>
      <xdr:rowOff>152400</xdr:rowOff>
    </xdr:from>
    <xdr:to>
      <xdr:col>11</xdr:col>
      <xdr:colOff>518160</xdr:colOff>
      <xdr:row>14</xdr:row>
      <xdr:rowOff>175260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6C0C3A4D-9272-4326-B6E3-B898A8331761}"/>
            </a:ext>
          </a:extLst>
        </xdr:cNvPr>
        <xdr:cNvSpPr/>
      </xdr:nvSpPr>
      <xdr:spPr>
        <a:xfrm>
          <a:off x="11391900" y="128778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Cach dung: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1&gt; google install npm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2&gt;Cai near-cli bang cmd: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near-cli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3&gt; Khởi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động lại cái excel này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4&gt; Bam nut [Reload LPB]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Macro se read dia chi vi trong blockchain, write vao vung mau Yellow</a:t>
          </a:r>
          <a:endParaRPr lang="ja-JP" altLang="ja-JP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&#7893;ng%20h&#7907;p%20bot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ổng hợp bot"/>
      <sheetName val="Chia cổ tức"/>
      <sheetName val="Quản lý ví"/>
      <sheetName val="Tài sản Quỹ"/>
      <sheetName val="&lt;&lt;&lt;&lt;&lt;Team-&gt;"/>
      <sheetName val="Doanh thu Bot"/>
    </sheetNames>
    <definedNames>
      <definedName name="reloadLPB"/>
    </definedNames>
    <sheetDataSet>
      <sheetData sheetId="0"/>
      <sheetData sheetId="1"/>
      <sheetData sheetId="2">
        <row r="2">
          <cell r="H2">
            <v>7155.4563583356412</v>
          </cell>
        </row>
        <row r="4">
          <cell r="G4">
            <v>640.97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CE662-D252-4BE8-AE30-4AB9F648D7EA}">
  <sheetPr codeName="Sheet5"/>
  <dimension ref="A1:M22"/>
  <sheetViews>
    <sheetView tabSelected="1" workbookViewId="0">
      <selection activeCell="H14" sqref="H14"/>
    </sheetView>
  </sheetViews>
  <sheetFormatPr defaultRowHeight="18" x14ac:dyDescent="0.45"/>
  <cols>
    <col min="1" max="1" width="13.5" style="17" customWidth="1"/>
    <col min="2" max="2" width="11.09765625" customWidth="1"/>
    <col min="3" max="3" width="31" customWidth="1"/>
    <col min="4" max="4" width="11" customWidth="1"/>
    <col min="7" max="7" width="17.5" customWidth="1"/>
    <col min="8" max="8" width="9.69921875" customWidth="1"/>
    <col min="9" max="9" width="8.59765625" customWidth="1"/>
    <col min="10" max="11" width="10.296875" customWidth="1"/>
    <col min="12" max="12" width="10.59765625" customWidth="1"/>
    <col min="13" max="13" width="9.8984375" customWidth="1"/>
  </cols>
  <sheetData>
    <row r="1" spans="1:13" ht="36" customHeight="1" x14ac:dyDescent="0.45">
      <c r="A1" s="23" t="s">
        <v>50</v>
      </c>
      <c r="B1" s="23"/>
      <c r="C1" s="23"/>
      <c r="F1" t="s">
        <v>1</v>
      </c>
      <c r="G1" s="1">
        <v>44702.543032407404</v>
      </c>
      <c r="H1" s="2" t="s">
        <v>2</v>
      </c>
      <c r="I1" s="3" t="s">
        <v>3</v>
      </c>
      <c r="J1" s="4" t="s">
        <v>4</v>
      </c>
      <c r="K1" s="4" t="s">
        <v>5</v>
      </c>
      <c r="L1" s="5" t="s">
        <v>6</v>
      </c>
      <c r="M1" s="20" t="s">
        <v>51</v>
      </c>
    </row>
    <row r="2" spans="1:13" ht="32.4" customHeight="1" x14ac:dyDescent="0.45">
      <c r="A2" s="6" t="s">
        <v>52</v>
      </c>
      <c r="B2" s="7" t="s">
        <v>8</v>
      </c>
      <c r="C2" s="7" t="s">
        <v>9</v>
      </c>
      <c r="D2" s="8" t="s">
        <v>53</v>
      </c>
      <c r="E2" s="8" t="s">
        <v>54</v>
      </c>
      <c r="F2" s="8" t="s">
        <v>55</v>
      </c>
      <c r="G2" s="8" t="s">
        <v>56</v>
      </c>
      <c r="H2">
        <f>SUM(G3:G26)</f>
        <v>6664.5609383585861</v>
      </c>
      <c r="I2" s="9">
        <v>725.029177</v>
      </c>
      <c r="J2" s="10">
        <v>2201.1713259469234</v>
      </c>
      <c r="K2" s="10">
        <v>4.6374749177824635</v>
      </c>
      <c r="L2" s="11">
        <f>J2/I2</f>
        <v>3.0359762003714827</v>
      </c>
      <c r="M2" s="21">
        <f>H2/('[1]Quản lý ví'!H2-'[1]Quản lý ví'!G4)</f>
        <v>1.0230370549215928</v>
      </c>
    </row>
    <row r="3" spans="1:13" x14ac:dyDescent="0.45">
      <c r="A3" s="12" t="s">
        <v>14</v>
      </c>
      <c r="B3" s="13" t="s">
        <v>15</v>
      </c>
      <c r="C3" s="14" t="s">
        <v>16</v>
      </c>
      <c r="D3" s="15">
        <v>4.0706528312057744</v>
      </c>
      <c r="E3">
        <f>D3*$J$2/$K$2</f>
        <v>1932.1299734855238</v>
      </c>
      <c r="F3" s="15">
        <v>1363.1301136699756</v>
      </c>
      <c r="G3">
        <f>ROUNDDOWN(E3+F3,2)</f>
        <v>3295.26</v>
      </c>
      <c r="H3" s="16">
        <f t="shared" ref="H3:H8" si="0">G3/$H$2</f>
        <v>0.49444517508029412</v>
      </c>
    </row>
    <row r="4" spans="1:13" x14ac:dyDescent="0.45">
      <c r="A4" s="12" t="s">
        <v>19</v>
      </c>
      <c r="B4" s="13" t="s">
        <v>15</v>
      </c>
      <c r="C4" s="12" t="s">
        <v>20</v>
      </c>
      <c r="D4" s="15">
        <v>0</v>
      </c>
      <c r="E4">
        <f t="shared" ref="E4:E7" si="1">D4*$J$2/$K$2</f>
        <v>0</v>
      </c>
      <c r="F4" s="15">
        <v>0.63030811906000594</v>
      </c>
      <c r="G4" s="22">
        <v>798.44643891140709</v>
      </c>
      <c r="H4" s="16">
        <f t="shared" si="0"/>
        <v>0.11980480729283516</v>
      </c>
    </row>
    <row r="5" spans="1:13" x14ac:dyDescent="0.45">
      <c r="A5" s="12" t="s">
        <v>21</v>
      </c>
      <c r="B5" s="13" t="s">
        <v>15</v>
      </c>
      <c r="C5" s="12" t="s">
        <v>22</v>
      </c>
      <c r="D5" s="15">
        <v>0</v>
      </c>
      <c r="E5">
        <f t="shared" si="1"/>
        <v>0</v>
      </c>
      <c r="F5" s="15">
        <v>0.55798985677333968</v>
      </c>
      <c r="G5" s="22">
        <v>541.02489866821077</v>
      </c>
      <c r="H5" s="16">
        <f t="shared" si="0"/>
        <v>8.1179376056760871E-2</v>
      </c>
    </row>
    <row r="6" spans="1:13" x14ac:dyDescent="0.45">
      <c r="A6" s="12" t="s">
        <v>23</v>
      </c>
      <c r="B6" s="13" t="s">
        <v>15</v>
      </c>
      <c r="C6" s="12" t="s">
        <v>24</v>
      </c>
      <c r="D6" s="15">
        <v>0</v>
      </c>
      <c r="E6">
        <f t="shared" si="1"/>
        <v>0</v>
      </c>
      <c r="F6" s="15">
        <v>1.1220812849089319</v>
      </c>
      <c r="G6" s="22">
        <v>293.29113924050631</v>
      </c>
      <c r="H6" s="16">
        <f t="shared" si="0"/>
        <v>4.4007571084306259E-2</v>
      </c>
    </row>
    <row r="7" spans="1:13" x14ac:dyDescent="0.45">
      <c r="A7" s="12" t="s">
        <v>57</v>
      </c>
      <c r="B7" s="13" t="s">
        <v>15</v>
      </c>
      <c r="C7" s="12" t="s">
        <v>26</v>
      </c>
      <c r="D7" s="15">
        <v>0</v>
      </c>
      <c r="E7">
        <f t="shared" si="1"/>
        <v>0</v>
      </c>
      <c r="F7" s="15">
        <v>1.137709194453751</v>
      </c>
      <c r="G7" s="22">
        <v>880.76923076923072</v>
      </c>
      <c r="H7" s="16">
        <f t="shared" si="0"/>
        <v>0.13215712766611079</v>
      </c>
    </row>
    <row r="8" spans="1:13" x14ac:dyDescent="0.45">
      <c r="A8" s="12" t="s">
        <v>58</v>
      </c>
      <c r="B8" s="13" t="s">
        <v>59</v>
      </c>
      <c r="C8" s="12" t="s">
        <v>60</v>
      </c>
      <c r="D8" s="15">
        <v>0</v>
      </c>
      <c r="F8" s="15">
        <v>0.75784803224779795</v>
      </c>
      <c r="G8" s="22">
        <v>855.76923076923072</v>
      </c>
      <c r="H8" s="16">
        <f t="shared" si="0"/>
        <v>0.12840594281969278</v>
      </c>
    </row>
    <row r="9" spans="1:13" x14ac:dyDescent="0.45">
      <c r="A9" s="12"/>
      <c r="B9" s="13"/>
      <c r="C9" s="12"/>
      <c r="D9" s="15"/>
      <c r="F9" s="15"/>
      <c r="H9" s="16"/>
    </row>
    <row r="10" spans="1:13" x14ac:dyDescent="0.45">
      <c r="A10" s="12"/>
      <c r="B10" s="13"/>
      <c r="C10" s="12"/>
      <c r="D10" s="15"/>
      <c r="F10" s="15"/>
      <c r="H10" s="16"/>
    </row>
    <row r="11" spans="1:13" x14ac:dyDescent="0.45">
      <c r="A11" s="12"/>
      <c r="B11" s="13"/>
      <c r="C11" s="12"/>
      <c r="D11" s="15"/>
      <c r="F11" s="15"/>
      <c r="H11" s="16"/>
    </row>
    <row r="12" spans="1:13" x14ac:dyDescent="0.45">
      <c r="A12" s="12"/>
      <c r="B12" s="13"/>
      <c r="C12" s="12"/>
      <c r="D12" s="15"/>
      <c r="F12" s="15"/>
      <c r="H12" s="16"/>
    </row>
    <row r="13" spans="1:13" x14ac:dyDescent="0.45">
      <c r="A13" s="12"/>
      <c r="B13" s="13"/>
      <c r="C13" s="12"/>
      <c r="D13" s="15"/>
      <c r="F13" s="15"/>
      <c r="H13" s="16"/>
    </row>
    <row r="14" spans="1:13" x14ac:dyDescent="0.45">
      <c r="A14" s="12"/>
      <c r="B14" s="13"/>
      <c r="C14" s="12"/>
      <c r="D14" s="15"/>
      <c r="F14" s="15"/>
      <c r="H14" s="16"/>
    </row>
    <row r="15" spans="1:13" x14ac:dyDescent="0.45">
      <c r="A15" s="12"/>
      <c r="B15" s="13"/>
      <c r="C15" s="12"/>
      <c r="D15" s="15"/>
      <c r="F15" s="15"/>
      <c r="H15" s="16"/>
    </row>
    <row r="16" spans="1:13" x14ac:dyDescent="0.45">
      <c r="A16" s="12"/>
      <c r="B16" s="13"/>
      <c r="C16" s="12"/>
      <c r="D16" s="15"/>
      <c r="F16" s="15"/>
      <c r="H16" s="16"/>
    </row>
    <row r="17" spans="1:8" x14ac:dyDescent="0.45">
      <c r="A17" s="12"/>
      <c r="B17" s="13"/>
      <c r="C17" s="12"/>
      <c r="D17" s="15"/>
      <c r="F17" s="15"/>
      <c r="H17" s="16"/>
    </row>
    <row r="18" spans="1:8" x14ac:dyDescent="0.45">
      <c r="A18" s="12"/>
      <c r="B18" s="13"/>
      <c r="C18" s="12"/>
    </row>
    <row r="19" spans="1:8" x14ac:dyDescent="0.45">
      <c r="A19" s="12"/>
      <c r="B19" s="13"/>
      <c r="C19" s="12"/>
    </row>
    <row r="20" spans="1:8" x14ac:dyDescent="0.45">
      <c r="A20" s="12"/>
      <c r="B20" s="13"/>
      <c r="C20" s="12"/>
    </row>
    <row r="21" spans="1:8" x14ac:dyDescent="0.45">
      <c r="A21" s="12"/>
      <c r="B21" s="13"/>
      <c r="C21" s="12"/>
    </row>
    <row r="22" spans="1:8" x14ac:dyDescent="0.45">
      <c r="A22" s="12"/>
      <c r="B22" s="13"/>
      <c r="C22" s="12"/>
    </row>
  </sheetData>
  <mergeCells count="1">
    <mergeCell ref="A1:C1"/>
  </mergeCells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F838D-BD88-4F9D-A08C-E0B9B1CBAAC6}">
  <sheetPr codeName="Sheet4"/>
  <dimension ref="A1:L25"/>
  <sheetViews>
    <sheetView workbookViewId="0">
      <selection activeCell="C18" sqref="C18"/>
    </sheetView>
  </sheetViews>
  <sheetFormatPr defaultRowHeight="18" x14ac:dyDescent="0.45"/>
  <cols>
    <col min="1" max="1" width="16.3984375" style="17" customWidth="1"/>
    <col min="2" max="2" width="11.09765625" customWidth="1"/>
    <col min="3" max="3" width="60.69921875" customWidth="1"/>
    <col min="4" max="4" width="11" customWidth="1"/>
    <col min="6" max="6" width="8.296875" customWidth="1"/>
    <col min="7" max="7" width="15.69921875" customWidth="1"/>
    <col min="8" max="8" width="9.69921875" customWidth="1"/>
    <col min="9" max="9" width="8.59765625" customWidth="1"/>
    <col min="10" max="11" width="10.296875" customWidth="1"/>
    <col min="12" max="12" width="10.59765625" customWidth="1"/>
  </cols>
  <sheetData>
    <row r="1" spans="1:12" ht="36" customHeight="1" x14ac:dyDescent="0.45">
      <c r="A1" s="23" t="s">
        <v>0</v>
      </c>
      <c r="B1" s="23"/>
      <c r="C1" s="23"/>
      <c r="F1" t="s">
        <v>49</v>
      </c>
      <c r="G1" s="1">
        <v>44702.465150462966</v>
      </c>
      <c r="H1" s="2" t="s">
        <v>2</v>
      </c>
      <c r="I1" s="3" t="s">
        <v>3</v>
      </c>
      <c r="J1" s="4" t="s">
        <v>4</v>
      </c>
      <c r="K1" s="4" t="s">
        <v>5</v>
      </c>
      <c r="L1" s="5" t="s">
        <v>6</v>
      </c>
    </row>
    <row r="2" spans="1:12" ht="32.4" customHeight="1" x14ac:dyDescent="0.45">
      <c r="A2" s="6" t="s">
        <v>7</v>
      </c>
      <c r="B2" s="7" t="s">
        <v>8</v>
      </c>
      <c r="C2" s="7" t="s">
        <v>9</v>
      </c>
      <c r="D2" s="8" t="s">
        <v>10</v>
      </c>
      <c r="E2" s="8" t="s">
        <v>11</v>
      </c>
      <c r="F2" s="8" t="s">
        <v>12</v>
      </c>
      <c r="G2" s="8" t="s">
        <v>13</v>
      </c>
      <c r="H2">
        <f>SUM(E4:F29)</f>
        <v>7155.457210299508</v>
      </c>
      <c r="I2" s="9">
        <v>725.029177</v>
      </c>
      <c r="J2" s="10">
        <v>2201.1713259469234</v>
      </c>
      <c r="K2" s="10">
        <v>4.6374749177824635</v>
      </c>
      <c r="L2" s="11">
        <f>J2/I2</f>
        <v>3.0359762003714827</v>
      </c>
    </row>
    <row r="3" spans="1:12" ht="21" customHeight="1" x14ac:dyDescent="0.45">
      <c r="A3" s="12" t="s">
        <v>48</v>
      </c>
      <c r="B3" s="13" t="s">
        <v>15</v>
      </c>
      <c r="C3" s="14" t="s">
        <v>47</v>
      </c>
      <c r="D3">
        <v>0</v>
      </c>
      <c r="F3">
        <v>9992844.5399999991</v>
      </c>
      <c r="G3">
        <f>ROUNDDOWN(E3+F3,2)</f>
        <v>9992844.5399999991</v>
      </c>
      <c r="H3" s="19">
        <f>G3/(G3+$H$2)</f>
        <v>0.99928445427877055</v>
      </c>
      <c r="L3" s="18"/>
    </row>
    <row r="4" spans="1:12" x14ac:dyDescent="0.45">
      <c r="A4" s="12" t="s">
        <v>14</v>
      </c>
      <c r="B4" s="13" t="s">
        <v>15</v>
      </c>
      <c r="C4" s="14" t="s">
        <v>16</v>
      </c>
      <c r="D4" s="15">
        <v>4.0706528312057744</v>
      </c>
      <c r="E4">
        <f>D4*$I$2/$K$2</f>
        <v>636.41143604785429</v>
      </c>
      <c r="F4" s="15">
        <v>0</v>
      </c>
      <c r="G4">
        <f>ROUNDDOWN(E4+F4,2)</f>
        <v>636.41</v>
      </c>
      <c r="H4" s="16">
        <f>G4/$H$2</f>
        <v>8.8940508103934501E-2</v>
      </c>
    </row>
    <row r="5" spans="1:12" x14ac:dyDescent="0.45">
      <c r="A5" s="12" t="s">
        <v>17</v>
      </c>
      <c r="B5" s="13" t="s">
        <v>15</v>
      </c>
      <c r="C5" s="14" t="s">
        <v>18</v>
      </c>
      <c r="D5" s="15">
        <v>0.5477735695276712</v>
      </c>
      <c r="E5">
        <f t="shared" ref="E5:E19" si="0">D5*$I$2/$K$2</f>
        <v>85.63966972071708</v>
      </c>
      <c r="F5" s="15">
        <v>981.94033000000002</v>
      </c>
      <c r="G5">
        <f t="shared" ref="G5:G19" si="1">ROUNDDOWN(E5+F5,2)</f>
        <v>1067.57</v>
      </c>
      <c r="H5" s="16">
        <f t="shared" ref="H5:H19" si="2">G5/$H$2</f>
        <v>0.14919661576109325</v>
      </c>
    </row>
    <row r="6" spans="1:12" x14ac:dyDescent="0.45">
      <c r="A6" s="12" t="s">
        <v>19</v>
      </c>
      <c r="B6" s="13" t="s">
        <v>15</v>
      </c>
      <c r="C6" s="12" t="s">
        <v>20</v>
      </c>
      <c r="D6" s="15">
        <v>0</v>
      </c>
      <c r="E6">
        <f t="shared" si="0"/>
        <v>0</v>
      </c>
      <c r="F6" s="15">
        <v>0</v>
      </c>
      <c r="G6">
        <f t="shared" si="1"/>
        <v>0</v>
      </c>
      <c r="H6" s="16">
        <f t="shared" si="2"/>
        <v>0</v>
      </c>
    </row>
    <row r="7" spans="1:12" x14ac:dyDescent="0.45">
      <c r="A7" s="12" t="s">
        <v>21</v>
      </c>
      <c r="B7" s="13" t="s">
        <v>15</v>
      </c>
      <c r="C7" s="12" t="s">
        <v>22</v>
      </c>
      <c r="D7" s="15">
        <v>0</v>
      </c>
      <c r="E7">
        <f t="shared" si="0"/>
        <v>0</v>
      </c>
      <c r="F7" s="15">
        <v>0</v>
      </c>
      <c r="G7">
        <f t="shared" si="1"/>
        <v>0</v>
      </c>
      <c r="H7" s="16">
        <f t="shared" si="2"/>
        <v>0</v>
      </c>
    </row>
    <row r="8" spans="1:12" x14ac:dyDescent="0.45">
      <c r="A8" s="12" t="s">
        <v>23</v>
      </c>
      <c r="B8" s="13" t="s">
        <v>15</v>
      </c>
      <c r="C8" s="12" t="s">
        <v>24</v>
      </c>
      <c r="D8" s="15">
        <v>0</v>
      </c>
      <c r="E8">
        <f t="shared" si="0"/>
        <v>0</v>
      </c>
      <c r="F8" s="15">
        <v>0</v>
      </c>
      <c r="G8">
        <f t="shared" si="1"/>
        <v>0</v>
      </c>
      <c r="H8" s="16">
        <f t="shared" si="2"/>
        <v>0</v>
      </c>
    </row>
    <row r="9" spans="1:12" x14ac:dyDescent="0.45">
      <c r="A9" s="12" t="s">
        <v>25</v>
      </c>
      <c r="B9" s="13" t="s">
        <v>15</v>
      </c>
      <c r="C9" s="12" t="s">
        <v>26</v>
      </c>
      <c r="D9" s="15">
        <v>0</v>
      </c>
      <c r="E9">
        <f t="shared" si="0"/>
        <v>0</v>
      </c>
      <c r="F9" s="15">
        <v>0</v>
      </c>
      <c r="G9">
        <f t="shared" si="1"/>
        <v>0</v>
      </c>
      <c r="H9" s="16">
        <f t="shared" si="2"/>
        <v>0</v>
      </c>
    </row>
    <row r="10" spans="1:12" x14ac:dyDescent="0.45">
      <c r="A10" s="12" t="s">
        <v>27</v>
      </c>
      <c r="B10" s="13" t="s">
        <v>15</v>
      </c>
      <c r="C10" s="12" t="s">
        <v>28</v>
      </c>
      <c r="D10" s="15">
        <v>0</v>
      </c>
      <c r="E10">
        <f t="shared" si="0"/>
        <v>0</v>
      </c>
      <c r="F10" s="15">
        <v>1599.28</v>
      </c>
      <c r="G10">
        <f t="shared" si="1"/>
        <v>1599.28</v>
      </c>
      <c r="H10" s="16">
        <f t="shared" si="2"/>
        <v>0.22350493518401718</v>
      </c>
    </row>
    <row r="11" spans="1:12" x14ac:dyDescent="0.45">
      <c r="A11" s="12" t="s">
        <v>29</v>
      </c>
      <c r="B11" s="13" t="s">
        <v>15</v>
      </c>
      <c r="C11" s="12" t="s">
        <v>30</v>
      </c>
      <c r="D11" s="15">
        <v>0</v>
      </c>
      <c r="E11">
        <f t="shared" si="0"/>
        <v>0</v>
      </c>
      <c r="F11" s="15">
        <v>1555.2</v>
      </c>
      <c r="G11">
        <f t="shared" si="1"/>
        <v>1555.2</v>
      </c>
      <c r="H11" s="16">
        <f t="shared" si="2"/>
        <v>0.21734460206979611</v>
      </c>
    </row>
    <row r="12" spans="1:12" x14ac:dyDescent="0.45">
      <c r="A12" s="12" t="s">
        <v>31</v>
      </c>
      <c r="B12" s="13" t="s">
        <v>15</v>
      </c>
      <c r="C12" s="12" t="s">
        <v>32</v>
      </c>
      <c r="D12" s="15">
        <v>0</v>
      </c>
      <c r="E12">
        <f t="shared" si="0"/>
        <v>0</v>
      </c>
      <c r="F12" s="15">
        <v>0</v>
      </c>
      <c r="G12">
        <f t="shared" si="1"/>
        <v>0</v>
      </c>
      <c r="H12" s="16">
        <f t="shared" si="2"/>
        <v>0</v>
      </c>
    </row>
    <row r="13" spans="1:12" x14ac:dyDescent="0.45">
      <c r="A13" s="12" t="s">
        <v>33</v>
      </c>
      <c r="B13" s="13" t="s">
        <v>15</v>
      </c>
      <c r="C13" s="12" t="s">
        <v>34</v>
      </c>
      <c r="D13" s="15">
        <v>6.3962596979973262E-3</v>
      </c>
      <c r="E13">
        <f t="shared" si="0"/>
        <v>0.99999999718269239</v>
      </c>
      <c r="F13" s="15">
        <v>570.62</v>
      </c>
      <c r="G13">
        <f t="shared" si="1"/>
        <v>571.61</v>
      </c>
      <c r="H13" s="16">
        <f t="shared" si="2"/>
        <v>7.9884483017693006E-2</v>
      </c>
    </row>
    <row r="14" spans="1:12" x14ac:dyDescent="0.45">
      <c r="A14" s="12" t="s">
        <v>35</v>
      </c>
      <c r="B14" s="13" t="s">
        <v>15</v>
      </c>
      <c r="C14" s="12" t="s">
        <v>36</v>
      </c>
      <c r="D14" s="15">
        <v>6.3962596652110629E-3</v>
      </c>
      <c r="E14">
        <f t="shared" si="0"/>
        <v>0.99999999205684309</v>
      </c>
      <c r="F14" s="15">
        <v>485.32</v>
      </c>
      <c r="G14">
        <f t="shared" si="1"/>
        <v>486.31</v>
      </c>
      <c r="H14" s="16">
        <f t="shared" si="2"/>
        <v>6.7963511723612757E-2</v>
      </c>
    </row>
    <row r="15" spans="1:12" x14ac:dyDescent="0.45">
      <c r="A15" s="12" t="s">
        <v>37</v>
      </c>
      <c r="B15" s="13" t="s">
        <v>15</v>
      </c>
      <c r="C15" s="12" t="s">
        <v>38</v>
      </c>
      <c r="D15" s="15">
        <v>0</v>
      </c>
      <c r="E15">
        <f t="shared" si="0"/>
        <v>0</v>
      </c>
      <c r="F15" s="15">
        <v>284.36</v>
      </c>
      <c r="G15">
        <f t="shared" si="1"/>
        <v>284.36</v>
      </c>
      <c r="H15" s="16">
        <f t="shared" si="2"/>
        <v>3.9740297739562259E-2</v>
      </c>
    </row>
    <row r="16" spans="1:12" x14ac:dyDescent="0.45">
      <c r="A16" s="12" t="s">
        <v>39</v>
      </c>
      <c r="B16" s="13" t="s">
        <v>15</v>
      </c>
      <c r="C16" s="12" t="s">
        <v>40</v>
      </c>
      <c r="D16" s="15">
        <v>0</v>
      </c>
      <c r="E16">
        <f t="shared" si="0"/>
        <v>0</v>
      </c>
      <c r="F16" s="15">
        <v>380.94</v>
      </c>
      <c r="G16">
        <f t="shared" si="1"/>
        <v>380.94</v>
      </c>
      <c r="H16" s="16">
        <f t="shared" si="2"/>
        <v>5.3237688215321585E-2</v>
      </c>
    </row>
    <row r="17" spans="1:8" x14ac:dyDescent="0.45">
      <c r="A17" s="12" t="s">
        <v>41</v>
      </c>
      <c r="B17" s="13" t="s">
        <v>15</v>
      </c>
      <c r="C17" s="12" t="s">
        <v>42</v>
      </c>
      <c r="D17" s="15">
        <v>0</v>
      </c>
      <c r="E17">
        <f t="shared" si="0"/>
        <v>0</v>
      </c>
      <c r="F17" s="15">
        <v>212.481222</v>
      </c>
      <c r="G17">
        <f t="shared" si="1"/>
        <v>212.48</v>
      </c>
      <c r="H17" s="16">
        <f t="shared" si="2"/>
        <v>2.9694818060564735E-2</v>
      </c>
    </row>
    <row r="18" spans="1:8" x14ac:dyDescent="0.45">
      <c r="A18" s="12" t="s">
        <v>43</v>
      </c>
      <c r="B18" s="13" t="s">
        <v>15</v>
      </c>
      <c r="C18" s="12" t="s">
        <v>44</v>
      </c>
      <c r="D18" s="15">
        <v>0</v>
      </c>
      <c r="E18">
        <f t="shared" si="0"/>
        <v>0</v>
      </c>
      <c r="F18" s="15">
        <v>173.5</v>
      </c>
      <c r="G18">
        <f t="shared" si="1"/>
        <v>173.5</v>
      </c>
      <c r="H18" s="16">
        <f t="shared" si="2"/>
        <v>2.4247227661464522E-2</v>
      </c>
    </row>
    <row r="19" spans="1:8" x14ac:dyDescent="0.45">
      <c r="A19" s="12" t="s">
        <v>45</v>
      </c>
      <c r="B19" s="13" t="s">
        <v>15</v>
      </c>
      <c r="C19" s="12" t="s">
        <v>46</v>
      </c>
      <c r="D19" s="15">
        <v>6.2381924144978528E-3</v>
      </c>
      <c r="E19">
        <f t="shared" si="0"/>
        <v>0.97528754169817855</v>
      </c>
      <c r="F19" s="15">
        <v>186.789265</v>
      </c>
      <c r="G19">
        <f t="shared" si="1"/>
        <v>187.76</v>
      </c>
      <c r="H19" s="16">
        <f t="shared" si="2"/>
        <v>2.6240112194331866E-2</v>
      </c>
    </row>
    <row r="20" spans="1:8" x14ac:dyDescent="0.45">
      <c r="A20" s="12"/>
      <c r="B20" s="13"/>
      <c r="C20" s="12"/>
    </row>
    <row r="21" spans="1:8" x14ac:dyDescent="0.45">
      <c r="A21" s="12"/>
      <c r="B21" s="13"/>
      <c r="C21" s="12"/>
    </row>
    <row r="22" spans="1:8" x14ac:dyDescent="0.45">
      <c r="A22" s="12"/>
      <c r="B22" s="13"/>
      <c r="C22" s="12"/>
    </row>
    <row r="23" spans="1:8" x14ac:dyDescent="0.45">
      <c r="A23" s="12"/>
      <c r="B23" s="13"/>
      <c r="C23" s="12"/>
    </row>
    <row r="24" spans="1:8" x14ac:dyDescent="0.45">
      <c r="A24" s="12"/>
      <c r="B24" s="13"/>
      <c r="C24" s="12"/>
    </row>
    <row r="25" spans="1:8" x14ac:dyDescent="0.45">
      <c r="A25" s="12"/>
      <c r="B25" s="13"/>
      <c r="C25" s="12"/>
    </row>
  </sheetData>
  <mergeCells count="1">
    <mergeCell ref="A1:C1"/>
  </mergeCells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Tài sản Quỹ</vt:lpstr>
      <vt:lpstr>Quản lý ví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tuannp1</dc:creator>
  <cp:lastModifiedBy>tuannp1</cp:lastModifiedBy>
  <dcterms:created xsi:type="dcterms:W3CDTF">2022-05-21T01:50:04Z</dcterms:created>
  <dcterms:modified xsi:type="dcterms:W3CDTF">2022-05-21T12:15:52Z</dcterms:modified>
</cp:coreProperties>
</file>