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annp1\Downloads\"/>
    </mc:Choice>
  </mc:AlternateContent>
  <xr:revisionPtr revIDLastSave="0" documentId="8_{95374FEF-602F-4E95-9528-69579A4E4D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ổng hợp bot" sheetId="29" r:id="rId1"/>
    <sheet name="Chia cổ tức" sheetId="28" r:id="rId2"/>
    <sheet name="Quản lý ví" sheetId="30" r:id="rId3"/>
    <sheet name="Tài sản Quỹ" sheetId="31" r:id="rId4"/>
    <sheet name="&lt;&lt;&lt;&lt;&lt;Team-&gt;" sheetId="3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" i="31" l="1"/>
  <c r="K5" i="30"/>
  <c r="K6" i="30"/>
  <c r="K7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K4" i="30"/>
  <c r="J23" i="29" l="1"/>
  <c r="F5" i="28"/>
  <c r="M11" i="29"/>
  <c r="G5" i="31" s="1"/>
  <c r="M8" i="29"/>
  <c r="G4" i="31" s="1"/>
  <c r="F14" i="29"/>
  <c r="G6" i="31" s="1"/>
  <c r="F8" i="29"/>
  <c r="G7" i="31" s="1"/>
  <c r="F11" i="29"/>
  <c r="G8" i="31" s="1"/>
  <c r="E4" i="31"/>
  <c r="E5" i="31"/>
  <c r="E6" i="31"/>
  <c r="E7" i="31"/>
  <c r="E3" i="31"/>
  <c r="G3" i="31" s="1"/>
  <c r="L2" i="31"/>
  <c r="E19" i="30"/>
  <c r="G19" i="30" s="1"/>
  <c r="C15" i="28" s="1"/>
  <c r="E18" i="30"/>
  <c r="G18" i="30" s="1"/>
  <c r="E17" i="30"/>
  <c r="G17" i="30" s="1"/>
  <c r="C13" i="28" s="1"/>
  <c r="E16" i="30"/>
  <c r="G16" i="30" s="1"/>
  <c r="C10" i="28" s="1"/>
  <c r="E15" i="30"/>
  <c r="G15" i="30" s="1"/>
  <c r="E14" i="30"/>
  <c r="G14" i="30" s="1"/>
  <c r="E13" i="30"/>
  <c r="G13" i="30" s="1"/>
  <c r="C11" i="28" s="1"/>
  <c r="E12" i="30"/>
  <c r="G12" i="30" s="1"/>
  <c r="E11" i="30"/>
  <c r="G11" i="30" s="1"/>
  <c r="E10" i="30"/>
  <c r="G10" i="30" s="1"/>
  <c r="E9" i="30"/>
  <c r="G9" i="30" s="1"/>
  <c r="E8" i="30"/>
  <c r="G8" i="30" s="1"/>
  <c r="E7" i="30"/>
  <c r="G7" i="30" s="1"/>
  <c r="E6" i="30"/>
  <c r="G6" i="30" s="1"/>
  <c r="E5" i="30"/>
  <c r="G5" i="30" s="1"/>
  <c r="C6" i="28" s="1"/>
  <c r="E4" i="30"/>
  <c r="G3" i="30"/>
  <c r="L2" i="30"/>
  <c r="N1" i="29" s="1"/>
  <c r="D23" i="29"/>
  <c r="D20" i="29"/>
  <c r="D17" i="29"/>
  <c r="K20" i="29"/>
  <c r="K17" i="29"/>
  <c r="H2" i="30" l="1"/>
  <c r="H12" i="30" s="1"/>
  <c r="C8" i="28"/>
  <c r="C14" i="28"/>
  <c r="C7" i="28"/>
  <c r="C9" i="28"/>
  <c r="C12" i="28"/>
  <c r="H2" i="31"/>
  <c r="G4" i="30"/>
  <c r="C5" i="28" s="1"/>
  <c r="K23" i="29"/>
  <c r="L23" i="29" s="1"/>
  <c r="M23" i="29" s="1"/>
  <c r="E6" i="28"/>
  <c r="F6" i="28" s="1"/>
  <c r="E15" i="28"/>
  <c r="F15" i="28" s="1"/>
  <c r="E14" i="28"/>
  <c r="F14" i="28" s="1"/>
  <c r="E13" i="28"/>
  <c r="F13" i="28" s="1"/>
  <c r="E12" i="28"/>
  <c r="F12" i="28" s="1"/>
  <c r="E11" i="28"/>
  <c r="F11" i="28" s="1"/>
  <c r="E10" i="28"/>
  <c r="F10" i="28" s="1"/>
  <c r="E9" i="28"/>
  <c r="F9" i="28" s="1"/>
  <c r="E8" i="28"/>
  <c r="F8" i="28" s="1"/>
  <c r="E7" i="28"/>
  <c r="F7" i="28" s="1"/>
  <c r="H7" i="31" l="1"/>
  <c r="H9" i="31"/>
  <c r="H11" i="30"/>
  <c r="H10" i="30"/>
  <c r="D4" i="29"/>
  <c r="H19" i="30"/>
  <c r="H16" i="30"/>
  <c r="H8" i="30"/>
  <c r="H5" i="30"/>
  <c r="H7" i="30"/>
  <c r="H18" i="30"/>
  <c r="H15" i="30"/>
  <c r="H9" i="30"/>
  <c r="H14" i="30"/>
  <c r="H17" i="30"/>
  <c r="H6" i="30"/>
  <c r="H13" i="30"/>
  <c r="D4" i="28"/>
  <c r="D8" i="28" s="1"/>
  <c r="H8" i="31"/>
  <c r="M2" i="31"/>
  <c r="N2" i="29" s="1"/>
  <c r="H6" i="31"/>
  <c r="H5" i="31"/>
  <c r="H4" i="31"/>
  <c r="H3" i="31"/>
  <c r="H3" i="30"/>
  <c r="H4" i="30"/>
  <c r="G10" i="29"/>
  <c r="P10" i="29"/>
  <c r="O10" i="29"/>
  <c r="D9" i="28" l="1"/>
  <c r="D6" i="28"/>
  <c r="D10" i="28"/>
  <c r="D11" i="28"/>
  <c r="D15" i="28"/>
  <c r="D13" i="28"/>
  <c r="D5" i="28"/>
  <c r="D14" i="28"/>
  <c r="D12" i="28"/>
  <c r="D7" i="28"/>
  <c r="D14" i="29" l="1"/>
  <c r="K11" i="29"/>
  <c r="K8" i="29"/>
  <c r="D11" i="29"/>
  <c r="D8" i="29"/>
  <c r="K14" i="29" l="1"/>
  <c r="L14" i="29" l="1"/>
  <c r="M14" i="29"/>
</calcChain>
</file>

<file path=xl/sharedStrings.xml><?xml version="1.0" encoding="utf-8"?>
<sst xmlns="http://schemas.openxmlformats.org/spreadsheetml/2006/main" count="233" uniqueCount="108">
  <si>
    <t>oct</t>
  </si>
  <si>
    <t>near</t>
  </si>
  <si>
    <t>ref</t>
  </si>
  <si>
    <t>usdt</t>
  </si>
  <si>
    <t>near/ref</t>
  </si>
  <si>
    <t>near/oct</t>
  </si>
  <si>
    <t>Tuần 1</t>
  </si>
  <si>
    <t>Thiện</t>
  </si>
  <si>
    <t>Tuấn</t>
  </si>
  <si>
    <t>Long</t>
  </si>
  <si>
    <t>Hiệu</t>
  </si>
  <si>
    <t>Tổng lời</t>
  </si>
  <si>
    <t>DỰ ÁN BOT TRADE</t>
  </si>
  <si>
    <t>Ví team</t>
  </si>
  <si>
    <t>Văn</t>
  </si>
  <si>
    <t>Tú</t>
  </si>
  <si>
    <t>Đạt</t>
  </si>
  <si>
    <t>mxc oct</t>
  </si>
  <si>
    <t>mxc paras</t>
  </si>
  <si>
    <t>bina celo</t>
  </si>
  <si>
    <t>mxc celo</t>
  </si>
  <si>
    <t>Loại bot</t>
  </si>
  <si>
    <t>gate oct</t>
  </si>
  <si>
    <t>Nhà Đầu Tư</t>
  </si>
  <si>
    <t>coin đầu</t>
  </si>
  <si>
    <t>coin sau</t>
  </si>
  <si>
    <t>xxx</t>
  </si>
  <si>
    <t>near/xxx</t>
  </si>
  <si>
    <t>mục</t>
  </si>
  <si>
    <t>số tuần</t>
  </si>
  <si>
    <t>giá near =</t>
  </si>
  <si>
    <t>Tổng kết tuần</t>
  </si>
  <si>
    <t>Tổng cpnear</t>
  </si>
  <si>
    <t>Tổng lời tuần</t>
  </si>
  <si>
    <t>Chia cổ tức</t>
  </si>
  <si>
    <t>Lợi tức tuần này</t>
  </si>
  <si>
    <t>Token của dự án:</t>
  </si>
  <si>
    <t>Tổng cung lưu hành:</t>
  </si>
  <si>
    <t>BẢNG CHIA LÃI HÀNG TUẦN CHO CÁC NHÀ ĐẦU TƯ</t>
  </si>
  <si>
    <r>
      <t>- Ai mu</t>
    </r>
    <r>
      <rPr>
        <b/>
        <sz val="11"/>
        <color theme="1"/>
        <rFont val="Calibri"/>
        <family val="2"/>
      </rPr>
      <t>ố</t>
    </r>
    <r>
      <rPr>
        <b/>
        <sz val="11"/>
        <color theme="1"/>
        <rFont val="ＭＳ Ｐゴシック"/>
        <family val="2"/>
        <scheme val="minor"/>
      </rPr>
      <t>n rút v</t>
    </r>
    <r>
      <rPr>
        <b/>
        <sz val="11"/>
        <color theme="1"/>
        <rFont val="Calibri"/>
        <family val="2"/>
      </rPr>
      <t>ố</t>
    </r>
    <r>
      <rPr>
        <b/>
        <sz val="11"/>
        <color theme="1"/>
        <rFont val="ＭＳ Ｐゴシック"/>
        <family val="2"/>
        <scheme val="minor"/>
      </rPr>
      <t>n thì rút b</t>
    </r>
    <r>
      <rPr>
        <b/>
        <sz val="11"/>
        <color theme="1"/>
        <rFont val="Calibri"/>
        <family val="2"/>
      </rPr>
      <t>ằ</t>
    </r>
    <r>
      <rPr>
        <b/>
        <sz val="11"/>
        <color theme="1"/>
        <rFont val="ＭＳ Ｐゴシック"/>
        <family val="2"/>
        <scheme val="minor"/>
      </rPr>
      <t>ng đúng % c</t>
    </r>
    <r>
      <rPr>
        <b/>
        <sz val="11"/>
        <color theme="1"/>
        <rFont val="Calibri"/>
        <family val="2"/>
      </rPr>
      <t>ủ</t>
    </r>
    <r>
      <rPr>
        <b/>
        <sz val="11"/>
        <color theme="1"/>
        <rFont val="ＭＳ Ｐゴシック"/>
        <family val="2"/>
        <scheme val="minor"/>
      </rPr>
      <t>a mình trong m</t>
    </r>
    <r>
      <rPr>
        <b/>
        <sz val="11"/>
        <color theme="1"/>
        <rFont val="Calibri"/>
        <family val="2"/>
      </rPr>
      <t>ỗ</t>
    </r>
    <r>
      <rPr>
        <b/>
        <sz val="11"/>
        <color theme="1"/>
        <rFont val="ＭＳ Ｐゴシック"/>
        <family val="2"/>
        <scheme val="minor"/>
      </rPr>
      <t>i bot hi</t>
    </r>
    <r>
      <rPr>
        <b/>
        <sz val="11"/>
        <color theme="1"/>
        <rFont val="Calibri"/>
        <family val="2"/>
      </rPr>
      <t>ệ</t>
    </r>
    <r>
      <rPr>
        <b/>
        <sz val="11"/>
        <color theme="1"/>
        <rFont val="ＭＳ Ｐゴシック"/>
        <family val="2"/>
        <scheme val="minor"/>
      </rPr>
      <t>n t</t>
    </r>
    <r>
      <rPr>
        <b/>
        <sz val="11"/>
        <color theme="1"/>
        <rFont val="Calibri"/>
        <family val="2"/>
      </rPr>
      <t>ạ</t>
    </r>
    <r>
      <rPr>
        <b/>
        <sz val="11"/>
        <color theme="1"/>
        <rFont val="ＭＳ Ｐゴシック"/>
        <family val="2"/>
        <scheme val="minor"/>
      </rPr>
      <t>i</t>
    </r>
  </si>
  <si>
    <t>TỔNG HỢP VÍ  NHÀ ĐẦU TƯ</t>
  </si>
  <si>
    <t>Nhà đầu tư</t>
  </si>
  <si>
    <t>chain</t>
  </si>
  <si>
    <t>địa chỉ ví near</t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</si>
  <si>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</si>
  <si>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</si>
  <si>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</si>
  <si>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</si>
  <si>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</si>
  <si>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</si>
  <si>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</si>
  <si>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</si>
  <si>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hanquockorean.near</t>
  </si>
  <si>
    <t>dxthienx1.near</t>
  </si>
  <si>
    <t>A Ngọc</t>
  </si>
  <si>
    <t>ngoctruong.near</t>
  </si>
  <si>
    <t>trader33tuoi.near</t>
  </si>
  <si>
    <t>hieulucy.near</t>
  </si>
  <si>
    <t>n2vc4b.near</t>
  </si>
  <si>
    <t>tunguyen148.near</t>
  </si>
  <si>
    <t>tkd93.near</t>
  </si>
  <si>
    <t>A Hào</t>
  </si>
  <si>
    <t>crazy0123.near</t>
  </si>
  <si>
    <t>A Ngôn</t>
  </si>
  <si>
    <t>ngonnt.near</t>
  </si>
  <si>
    <t>cpnear.near</t>
  </si>
  <si>
    <t xml:space="preserve">Ví Quỹ </t>
  </si>
  <si>
    <t>teambottrade.near</t>
    <phoneticPr fontId="8"/>
  </si>
  <si>
    <t>lpbot.near</t>
  </si>
  <si>
    <t>wrap.near</t>
  </si>
  <si>
    <t>Hodl
LPB</t>
    <phoneticPr fontId="8"/>
  </si>
  <si>
    <t>Pool
shares</t>
    <phoneticPr fontId="8"/>
  </si>
  <si>
    <t>to
LPB</t>
    <phoneticPr fontId="8"/>
  </si>
  <si>
    <t>Total</t>
    <phoneticPr fontId="8"/>
  </si>
  <si>
    <t>Days:</t>
    <phoneticPr fontId="8"/>
  </si>
  <si>
    <t>Rate(near)</t>
    <phoneticPr fontId="8"/>
  </si>
  <si>
    <t>Totalshares</t>
    <phoneticPr fontId="8"/>
  </si>
  <si>
    <t>Pool 3426</t>
    <phoneticPr fontId="8"/>
  </si>
  <si>
    <t>LPB locked</t>
    <phoneticPr fontId="8"/>
  </si>
  <si>
    <t>lpbot.near</t>
    <phoneticPr fontId="8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</si>
  <si>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ＭＳ Ｐゴシック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ＭＳ Ｐゴシック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ＭＳ Ｐゴシック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8"/>
  </si>
  <si>
    <t>Near shares</t>
    <phoneticPr fontId="8"/>
  </si>
  <si>
    <t>Hodl
Near</t>
    <phoneticPr fontId="8"/>
  </si>
  <si>
    <t>Ví con</t>
    <phoneticPr fontId="8"/>
  </si>
  <si>
    <t>Pool 3426
shares</t>
    <phoneticPr fontId="8"/>
  </si>
  <si>
    <r>
      <t>V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ＭＳ Ｐゴシック"/>
        <family val="2"/>
        <charset val="163"/>
        <scheme val="minor"/>
      </rPr>
      <t>n:</t>
    </r>
    <phoneticPr fontId="7" type="noConversion"/>
  </si>
  <si>
    <t>Ví Binance Celo</t>
    <phoneticPr fontId="8"/>
  </si>
  <si>
    <t>Ví Mexc Celo</t>
    <phoneticPr fontId="8"/>
  </si>
  <si>
    <t>near</t>
    <phoneticPr fontId="8"/>
  </si>
  <si>
    <t>koreanb.near</t>
    <phoneticPr fontId="8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</si>
  <si>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ＭＳ Ｐゴシック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8"/>
  </si>
  <si>
    <t>Total (NEAR)</t>
    <phoneticPr fontId="8"/>
  </si>
  <si>
    <r>
      <t>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ＭＳ Ｐゴシック"/>
        <family val="3"/>
        <charset val="128"/>
        <scheme val="minor"/>
      </rPr>
      <t>n 2</t>
    </r>
    <phoneticPr fontId="7" type="noConversion"/>
  </si>
  <si>
    <t>(NEAR)</t>
    <phoneticPr fontId="7" type="noConversion"/>
  </si>
  <si>
    <r>
      <t>t</t>
    </r>
    <r>
      <rPr>
        <b/>
        <sz val="11"/>
        <color theme="1"/>
        <rFont val="Calibri"/>
        <family val="2"/>
        <charset val="163"/>
      </rPr>
      <t>ổ</t>
    </r>
    <r>
      <rPr>
        <b/>
        <sz val="11"/>
        <color theme="1"/>
        <rFont val="ＭＳ Ｐゴシック"/>
        <family val="2"/>
        <scheme val="minor"/>
      </rPr>
      <t>ng v</t>
    </r>
    <r>
      <rPr>
        <b/>
        <sz val="11"/>
        <color theme="1"/>
        <rFont val="Calibri"/>
        <family val="2"/>
        <charset val="163"/>
      </rPr>
      <t>ố</t>
    </r>
    <r>
      <rPr>
        <b/>
        <sz val="11"/>
        <color theme="1"/>
        <rFont val="ＭＳ Ｐゴシック"/>
        <family val="2"/>
        <scheme val="minor"/>
      </rPr>
      <t>n/t</t>
    </r>
    <r>
      <rPr>
        <b/>
        <sz val="11"/>
        <color theme="1"/>
        <rFont val="Calibri"/>
        <family val="2"/>
        <charset val="163"/>
      </rPr>
      <t>ổ</t>
    </r>
    <r>
      <rPr>
        <b/>
        <sz val="11"/>
        <color theme="1"/>
        <rFont val="ＭＳ Ｐゴシック"/>
        <family val="2"/>
        <scheme val="minor"/>
      </rPr>
      <t>ng lpb</t>
    </r>
    <phoneticPr fontId="7" type="noConversion"/>
  </si>
  <si>
    <r>
      <t>- Giá giao d</t>
    </r>
    <r>
      <rPr>
        <b/>
        <sz val="11"/>
        <color theme="1"/>
        <rFont val="Calibri"/>
        <family val="2"/>
      </rPr>
      <t>ị</t>
    </r>
    <r>
      <rPr>
        <b/>
        <sz val="11"/>
        <color theme="1"/>
        <rFont val="ＭＳ Ｐゴシック"/>
        <family val="2"/>
        <scheme val="minor"/>
      </rPr>
      <t>ch th</t>
    </r>
    <r>
      <rPr>
        <b/>
        <sz val="11"/>
        <color theme="1"/>
        <rFont val="Calibri"/>
        <family val="2"/>
      </rPr>
      <t>ị</t>
    </r>
    <r>
      <rPr>
        <b/>
        <sz val="11"/>
        <color theme="1"/>
        <rFont val="ＭＳ Ｐゴシック"/>
        <family val="2"/>
        <scheme val="minor"/>
      </rPr>
      <t xml:space="preserve"> tr</t>
    </r>
    <r>
      <rPr>
        <b/>
        <sz val="11"/>
        <color theme="1"/>
        <rFont val="Calibri"/>
        <family val="2"/>
      </rPr>
      <t>ườ</t>
    </r>
    <r>
      <rPr>
        <b/>
        <sz val="11"/>
        <color theme="1"/>
        <rFont val="ＭＳ Ｐゴシック"/>
        <family val="2"/>
        <scheme val="minor"/>
      </rPr>
      <t>ng : 1LPB =</t>
    </r>
    <phoneticPr fontId="7" type="noConversion"/>
  </si>
  <si>
    <r>
      <t>- Giá team bot thu mua l</t>
    </r>
    <r>
      <rPr>
        <b/>
        <sz val="11"/>
        <color theme="1"/>
        <rFont val="Calibri"/>
        <family val="2"/>
      </rPr>
      <t>ạ</t>
    </r>
    <r>
      <rPr>
        <b/>
        <sz val="11"/>
        <color theme="1"/>
        <rFont val="ＭＳ Ｐゴシック"/>
        <family val="3"/>
        <charset val="128"/>
        <scheme val="minor"/>
      </rPr>
      <t xml:space="preserve">i : 1LPB = </t>
    </r>
    <phoneticPr fontId="7" type="noConversion"/>
  </si>
  <si>
    <t>Team</t>
    <phoneticPr fontId="7" type="noConversion"/>
  </si>
  <si>
    <t>Lookup
LPB</t>
    <phoneticPr fontId="7" type="noConversion"/>
  </si>
  <si>
    <r>
      <t>LPB s</t>
    </r>
    <r>
      <rPr>
        <b/>
        <sz val="11"/>
        <color theme="1"/>
        <rFont val="Calibri"/>
        <family val="2"/>
      </rPr>
      <t>ở</t>
    </r>
    <r>
      <rPr>
        <b/>
        <sz val="11"/>
        <color theme="1"/>
        <rFont val="ＭＳ Ｐゴシック"/>
        <family val="3"/>
        <charset val="128"/>
        <scheme val="minor"/>
      </rPr>
      <t xml:space="preserve"> h</t>
    </r>
    <r>
      <rPr>
        <b/>
        <sz val="11"/>
        <color theme="1"/>
        <rFont val="Calibri"/>
        <family val="2"/>
      </rPr>
      <t>ữ</t>
    </r>
    <r>
      <rPr>
        <b/>
        <sz val="11"/>
        <color theme="1"/>
        <rFont val="ＭＳ Ｐゴシック"/>
        <family val="3"/>
        <charset val="128"/>
        <scheme val="minor"/>
      </rPr>
      <t>u</t>
    </r>
    <phoneticPr fontId="7" type="noConversion"/>
  </si>
  <si>
    <r>
      <t>- M</t>
    </r>
    <r>
      <rPr>
        <b/>
        <sz val="11"/>
        <rFont val="Calibri"/>
        <family val="2"/>
      </rPr>
      <t>ọ</t>
    </r>
    <r>
      <rPr>
        <b/>
        <sz val="11"/>
        <rFont val="ＭＳ Ｐゴシック"/>
        <family val="3"/>
        <charset val="128"/>
        <scheme val="minor"/>
      </rPr>
      <t>i r</t>
    </r>
    <r>
      <rPr>
        <b/>
        <sz val="11"/>
        <rFont val="Calibri"/>
        <family val="2"/>
      </rPr>
      <t>ủ</t>
    </r>
    <r>
      <rPr>
        <b/>
        <sz val="11"/>
        <rFont val="ＭＳ Ｐゴシック"/>
        <family val="3"/>
        <charset val="128"/>
        <scheme val="minor"/>
      </rPr>
      <t>i ro khách quan n</t>
    </r>
    <r>
      <rPr>
        <b/>
        <sz val="11"/>
        <rFont val="Calibri"/>
        <family val="2"/>
      </rPr>
      <t>ế</t>
    </r>
    <r>
      <rPr>
        <b/>
        <sz val="11"/>
        <rFont val="ＭＳ Ｐゴシック"/>
        <family val="3"/>
        <charset val="128"/>
        <scheme val="minor"/>
      </rPr>
      <t>u có trong th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 xml:space="preserve"> tr</t>
    </r>
    <r>
      <rPr>
        <b/>
        <sz val="11"/>
        <rFont val="Calibri"/>
        <family val="2"/>
      </rPr>
      <t>ườ</t>
    </r>
    <r>
      <rPr>
        <b/>
        <sz val="11"/>
        <rFont val="ＭＳ Ｐゴシック"/>
        <family val="3"/>
        <charset val="128"/>
        <scheme val="minor"/>
      </rPr>
      <t>ng nhà đ</t>
    </r>
    <r>
      <rPr>
        <b/>
        <sz val="11"/>
        <rFont val="Calibri"/>
        <family val="2"/>
      </rPr>
      <t>ầ</t>
    </r>
    <r>
      <rPr>
        <b/>
        <sz val="11"/>
        <rFont val="ＭＳ Ｐゴシック"/>
        <family val="3"/>
        <charset val="128"/>
        <scheme val="minor"/>
      </rPr>
      <t>u t</t>
    </r>
    <r>
      <rPr>
        <b/>
        <sz val="11"/>
        <rFont val="Calibri"/>
        <family val="2"/>
      </rPr>
      <t>ư</t>
    </r>
    <r>
      <rPr>
        <b/>
        <sz val="11"/>
        <rFont val="ＭＳ Ｐゴシック"/>
        <family val="3"/>
        <charset val="128"/>
        <scheme val="minor"/>
      </rPr>
      <t xml:space="preserve"> t</t>
    </r>
    <r>
      <rPr>
        <b/>
        <sz val="11"/>
        <rFont val="Calibri"/>
        <family val="2"/>
      </rPr>
      <t>ự</t>
    </r>
    <r>
      <rPr>
        <b/>
        <sz val="11"/>
        <rFont val="ＭＳ Ｐゴシック"/>
        <family val="3"/>
        <charset val="128"/>
        <scheme val="minor"/>
      </rPr>
      <t xml:space="preserve"> ch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>u.</t>
    </r>
    <phoneticPr fontId="7" type="noConversion"/>
  </si>
  <si>
    <r>
      <t>Quy 
đ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>nh:</t>
    </r>
    <phoneticPr fontId="7" type="noConversion"/>
  </si>
  <si>
    <r>
      <t>Tu</t>
    </r>
    <r>
      <rPr>
        <b/>
        <sz val="11"/>
        <color theme="1"/>
        <rFont val="Calibri"/>
        <family val="2"/>
        <charset val="163"/>
      </rPr>
      <t>ầ</t>
    </r>
    <r>
      <rPr>
        <b/>
        <sz val="11"/>
        <color theme="1"/>
        <rFont val="ＭＳ Ｐゴシック"/>
        <family val="2"/>
        <scheme val="minor"/>
      </rPr>
      <t>n:</t>
    </r>
    <phoneticPr fontId="7" type="noConversion"/>
  </si>
  <si>
    <r>
      <t>lãi 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ＭＳ Ｐゴシック"/>
        <family val="3"/>
        <charset val="128"/>
        <scheme val="minor"/>
      </rPr>
      <t>n</t>
    </r>
    <phoneticPr fontId="7" type="noConversion"/>
  </si>
  <si>
    <t>LPB</t>
    <phoneticPr fontId="7" type="noConversion"/>
  </si>
  <si>
    <r>
      <t>Lãi hàng tu</t>
    </r>
    <r>
      <rPr>
        <sz val="11"/>
        <color theme="1"/>
        <rFont val="Calibri"/>
        <family val="2"/>
      </rPr>
      <t>ầ</t>
    </r>
    <r>
      <rPr>
        <sz val="11"/>
        <color theme="1"/>
        <rFont val="ＭＳ Ｐゴシック"/>
        <family val="3"/>
        <charset val="128"/>
        <scheme val="minor"/>
      </rPr>
      <t>n c</t>
    </r>
    <r>
      <rPr>
        <sz val="11"/>
        <color theme="1"/>
        <rFont val="Calibri"/>
        <family val="2"/>
      </rPr>
      <t>ủ</t>
    </r>
    <r>
      <rPr>
        <sz val="11"/>
        <color theme="1"/>
        <rFont val="ＭＳ Ｐゴシック"/>
        <family val="3"/>
        <charset val="128"/>
        <scheme val="minor"/>
      </rPr>
      <t>a m</t>
    </r>
    <r>
      <rPr>
        <sz val="11"/>
        <color theme="1"/>
        <rFont val="Calibri"/>
        <family val="2"/>
      </rPr>
      <t>ỗ</t>
    </r>
    <r>
      <rPr>
        <sz val="11"/>
        <color theme="1"/>
        <rFont val="ＭＳ Ｐゴシック"/>
        <family val="3"/>
        <charset val="128"/>
        <scheme val="minor"/>
      </rPr>
      <t>i ng</t>
    </r>
    <r>
      <rPr>
        <sz val="11"/>
        <color theme="1"/>
        <rFont val="Calibri"/>
        <family val="2"/>
      </rPr>
      <t>ườ</t>
    </r>
    <r>
      <rPr>
        <sz val="11"/>
        <color theme="1"/>
        <rFont val="ＭＳ Ｐゴシック"/>
        <family val="3"/>
        <charset val="128"/>
        <scheme val="minor"/>
      </rPr>
      <t>i b</t>
    </r>
    <r>
      <rPr>
        <sz val="11"/>
        <color theme="1"/>
        <rFont val="Calibri"/>
        <family val="2"/>
      </rPr>
      <t>ằ</t>
    </r>
    <r>
      <rPr>
        <sz val="11"/>
        <color theme="1"/>
        <rFont val="ＭＳ Ｐゴシック"/>
        <family val="3"/>
        <charset val="128"/>
        <scheme val="minor"/>
      </rPr>
      <t>ng s</t>
    </r>
    <r>
      <rPr>
        <sz val="11"/>
        <color theme="1"/>
        <rFont val="Calibri"/>
        <family val="2"/>
      </rPr>
      <t>ố</t>
    </r>
    <r>
      <rPr>
        <sz val="11"/>
        <color theme="1"/>
        <rFont val="ＭＳ Ｐゴシック"/>
        <family val="3"/>
        <charset val="128"/>
        <scheme val="minor"/>
      </rPr>
      <t xml:space="preserve"> LPB x l</t>
    </r>
    <r>
      <rPr>
        <sz val="11"/>
        <color theme="1"/>
        <rFont val="Calibri"/>
        <family val="2"/>
      </rPr>
      <t>ợ</t>
    </r>
    <r>
      <rPr>
        <sz val="11"/>
        <color theme="1"/>
        <rFont val="ＭＳ Ｐゴシック"/>
        <family val="3"/>
        <charset val="128"/>
        <scheme val="minor"/>
      </rPr>
      <t>i t</t>
    </r>
    <r>
      <rPr>
        <sz val="11"/>
        <color theme="1"/>
        <rFont val="Calibri"/>
        <family val="2"/>
      </rPr>
      <t>ứ</t>
    </r>
    <r>
      <rPr>
        <sz val="11"/>
        <color theme="1"/>
        <rFont val="ＭＳ Ｐゴシック"/>
        <family val="3"/>
        <charset val="128"/>
        <scheme val="minor"/>
      </rPr>
      <t>c tu</t>
    </r>
    <r>
      <rPr>
        <sz val="11"/>
        <color theme="1"/>
        <rFont val="Calibri"/>
        <family val="2"/>
      </rPr>
      <t>ầ</t>
    </r>
    <r>
      <rPr>
        <sz val="11"/>
        <color theme="1"/>
        <rFont val="ＭＳ Ｐゴシック"/>
        <family val="3"/>
        <charset val="128"/>
        <scheme val="minor"/>
      </rPr>
      <t>n</t>
    </r>
    <phoneticPr fontId="7" type="noConversion"/>
  </si>
  <si>
    <t>%</t>
    <phoneticPr fontId="7" type="noConversion"/>
  </si>
  <si>
    <t>Ví gate Celo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</si>
</sst>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7" formatCode="0.0"/>
    <numFmt numFmtId="178" formatCode="0.000000"/>
    <numFmt numFmtId="179" formatCode="0.000%"/>
    <numFmt numFmtId="180" formatCode="0.00000000"/>
  </numFmts>
  <fonts count="22" x14ac:knownFonts="1">
    <font>
      <sz val="11"/>
      <color theme="1"/>
      <name val="ＭＳ Ｐゴシック"/>
      <family val="2"/>
      <charset val="163"/>
      <scheme val="minor"/>
    </font>
    <font>
      <b/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charset val="163"/>
      <scheme val="minor"/>
    </font>
    <font>
      <sz val="11"/>
      <color theme="1"/>
      <name val="ＭＳ Ｐゴシック"/>
      <family val="2"/>
      <charset val="163"/>
      <scheme val="minor"/>
    </font>
    <font>
      <b/>
      <sz val="11"/>
      <name val="ＭＳ Ｐゴシック"/>
      <family val="2"/>
      <scheme val="minor"/>
    </font>
    <font>
      <b/>
      <sz val="15"/>
      <color rgb="FFFF0000"/>
      <name val="ＭＳ Ｐゴシック"/>
      <family val="2"/>
      <scheme val="minor"/>
    </font>
    <font>
      <b/>
      <sz val="14"/>
      <color theme="1"/>
      <name val="ＭＳ Ｐゴシック"/>
      <family val="2"/>
      <scheme val="minor"/>
    </font>
    <font>
      <sz val="8"/>
      <name val="ＭＳ Ｐゴシック"/>
      <family val="2"/>
      <charset val="163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Calibri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</font>
    <font>
      <b/>
      <sz val="11"/>
      <color theme="1"/>
      <name val="Calibri"/>
      <family val="3"/>
      <charset val="163"/>
    </font>
    <font>
      <sz val="11"/>
      <color theme="1"/>
      <name val="Calibri"/>
      <family val="2"/>
      <charset val="163"/>
    </font>
    <font>
      <sz val="11"/>
      <color theme="1"/>
      <name val="Segoe UI"/>
      <family val="2"/>
      <charset val="238"/>
    </font>
    <font>
      <b/>
      <sz val="11"/>
      <color theme="1"/>
      <name val="Calibri"/>
      <family val="2"/>
      <charset val="163"/>
    </font>
    <font>
      <b/>
      <sz val="11"/>
      <name val="ＭＳ Ｐゴシック"/>
      <family val="3"/>
      <charset val="128"/>
      <scheme val="minor"/>
    </font>
    <font>
      <b/>
      <sz val="11"/>
      <name val="Calibri"/>
      <family val="2"/>
    </font>
    <font>
      <sz val="11"/>
      <name val="ＭＳ Ｐゴシック"/>
      <family val="2"/>
      <charset val="163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rgb="FF7A9F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8" fontId="1" fillId="2" borderId="1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77" fontId="1" fillId="4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6" fillId="7" borderId="18" xfId="0" applyFont="1" applyFill="1" applyBorder="1" applyAlignment="1">
      <alignment horizontal="center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2" borderId="9" xfId="0" applyFill="1" applyBorder="1"/>
    <xf numFmtId="0" fontId="0" fillId="2" borderId="18" xfId="0" applyFill="1" applyBorder="1"/>
    <xf numFmtId="0" fontId="0" fillId="0" borderId="16" xfId="0" applyBorder="1"/>
    <xf numFmtId="22" fontId="0" fillId="0" borderId="0" xfId="0" applyNumberFormat="1"/>
    <xf numFmtId="0" fontId="10" fillId="0" borderId="0" xfId="0" applyFont="1"/>
    <xf numFmtId="10" fontId="0" fillId="0" borderId="0" xfId="1" applyNumberFormat="1" applyFont="1"/>
    <xf numFmtId="179" fontId="0" fillId="0" borderId="0" xfId="1" applyNumberFormat="1" applyFont="1" applyAlignment="1"/>
    <xf numFmtId="0" fontId="0" fillId="0" borderId="0" xfId="0" applyFill="1" applyBorder="1" applyAlignment="1">
      <alignment wrapText="1"/>
    </xf>
    <xf numFmtId="0" fontId="0" fillId="8" borderId="0" xfId="0" applyFill="1"/>
    <xf numFmtId="0" fontId="1" fillId="2" borderId="3" xfId="0" quotePrefix="1" applyFont="1" applyFill="1" applyBorder="1" applyAlignment="1">
      <alignment vertical="center"/>
    </xf>
    <xf numFmtId="0" fontId="1" fillId="2" borderId="21" xfId="0" quotePrefix="1" applyFont="1" applyFill="1" applyBorder="1" applyAlignment="1">
      <alignment vertical="center"/>
    </xf>
    <xf numFmtId="0" fontId="1" fillId="2" borderId="1" xfId="0" quotePrefix="1" applyFont="1" applyFill="1" applyBorder="1" applyAlignment="1">
      <alignment vertical="center"/>
    </xf>
    <xf numFmtId="0" fontId="1" fillId="2" borderId="22" xfId="0" quotePrefix="1" applyFont="1" applyFill="1" applyBorder="1" applyAlignment="1">
      <alignment vertical="center"/>
    </xf>
    <xf numFmtId="2" fontId="1" fillId="9" borderId="1" xfId="0" applyNumberFormat="1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12" borderId="3" xfId="0" quotePrefix="1" applyFont="1" applyFill="1" applyBorder="1" applyAlignment="1">
      <alignment vertical="center"/>
    </xf>
    <xf numFmtId="0" fontId="1" fillId="12" borderId="1" xfId="0" quotePrefix="1" applyFont="1" applyFill="1" applyBorder="1" applyAlignment="1">
      <alignment vertical="center"/>
    </xf>
    <xf numFmtId="0" fontId="18" fillId="11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left" vertical="center"/>
    </xf>
    <xf numFmtId="0" fontId="1" fillId="7" borderId="4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10" fontId="0" fillId="11" borderId="1" xfId="1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2" fontId="4" fillId="2" borderId="29" xfId="0" quotePrefix="1" applyNumberFormat="1" applyFont="1" applyFill="1" applyBorder="1" applyAlignment="1">
      <alignment horizontal="left" vertical="center"/>
    </xf>
    <xf numFmtId="2" fontId="4" fillId="2" borderId="29" xfId="0" applyNumberFormat="1" applyFont="1" applyFill="1" applyBorder="1" applyAlignment="1">
      <alignment horizontal="left" vertical="center"/>
    </xf>
    <xf numFmtId="2" fontId="4" fillId="2" borderId="30" xfId="0" applyNumberFormat="1" applyFont="1" applyFill="1" applyBorder="1" applyAlignment="1">
      <alignment horizontal="left" vertical="center"/>
    </xf>
    <xf numFmtId="0" fontId="1" fillId="2" borderId="1" xfId="0" quotePrefix="1" applyFont="1" applyFill="1" applyBorder="1" applyAlignment="1">
      <alignment horizontal="left"/>
    </xf>
    <xf numFmtId="0" fontId="1" fillId="2" borderId="22" xfId="0" quotePrefix="1" applyFont="1" applyFill="1" applyBorder="1" applyAlignment="1">
      <alignment horizontal="left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 vertical="center"/>
    </xf>
    <xf numFmtId="0" fontId="1" fillId="2" borderId="17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left" vertical="center"/>
    </xf>
    <xf numFmtId="0" fontId="1" fillId="2" borderId="26" xfId="0" applyFont="1" applyFill="1" applyBorder="1" applyAlignment="1">
      <alignment horizontal="left" vertical="center"/>
    </xf>
    <xf numFmtId="180" fontId="1" fillId="12" borderId="26" xfId="0" applyNumberFormat="1" applyFont="1" applyFill="1" applyBorder="1" applyAlignment="1">
      <alignment horizontal="center" vertical="center"/>
    </xf>
    <xf numFmtId="180" fontId="1" fillId="12" borderId="27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7A9FCC"/>
      <color rgb="FF898600"/>
      <color rgb="FFFFF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182880</xdr:colOff>
      <xdr:row>7</xdr:row>
      <xdr:rowOff>53340</xdr:rowOff>
    </xdr:from>
    <xdr:to>
      <xdr:col>20</xdr:col>
      <xdr:colOff>396240</xdr:colOff>
      <xdr:row>19</xdr:row>
      <xdr:rowOff>45720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6569C307-C586-1D78-455D-6B9948A139D3}"/>
            </a:ext>
          </a:extLst>
        </xdr:cNvPr>
        <xdr:cNvSpPr/>
      </xdr:nvSpPr>
      <xdr:spPr>
        <a:xfrm>
          <a:off x="9806940" y="1356360"/>
          <a:ext cx="2651760" cy="2049780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Trình</a:t>
          </a:r>
          <a:r>
            <a:rPr kumimoji="1" lang="en-US" altLang="ja-JP" sz="1100" b="1" baseline="0"/>
            <a:t> tự tính:</a:t>
          </a:r>
          <a:endParaRPr kumimoji="1" lang="en-US" altLang="ja-JP" sz="1100" b="1"/>
        </a:p>
        <a:p>
          <a:pPr algn="l"/>
          <a:r>
            <a:rPr kumimoji="1" lang="en-US" altLang="ja-JP" sz="1100"/>
            <a:t>1&gt; Nhập</a:t>
          </a:r>
          <a:r>
            <a:rPr kumimoji="1" lang="en-US" altLang="ja-JP" sz="1100" baseline="0"/>
            <a:t> lãi mỗi bot</a:t>
          </a:r>
        </a:p>
        <a:p>
          <a:pPr algn="l"/>
          <a:r>
            <a:rPr kumimoji="1" lang="en-US" altLang="ja-JP" sz="1100" baseline="0"/>
            <a:t>2&gt; Nhập số LPB lưu hành bên D4 paste vào.</a:t>
          </a:r>
        </a:p>
        <a:p>
          <a:pPr algn="l"/>
          <a:r>
            <a:rPr kumimoji="1" lang="en-US" altLang="ja-JP" sz="1100" baseline="0"/>
            <a:t>(Copy giá trị qua - không viết không thức - để lưu lại lịch sử)</a:t>
          </a:r>
        </a:p>
        <a:p>
          <a:pPr algn="l"/>
          <a:r>
            <a:rPr kumimoji="1" lang="en-US" altLang="ja-JP" sz="1100" baseline="0"/>
            <a:t>3&gt; Dùng lời tức tuần nhập qua bên Sheet [Chia cổ tức]</a:t>
          </a:r>
        </a:p>
        <a:p>
          <a:pPr algn="l"/>
          <a:r>
            <a:rPr kumimoji="1" lang="en-US" altLang="ja-JP" sz="1100" baseline="0"/>
            <a:t>(Copy số qua, không viết công thức)</a:t>
          </a:r>
          <a:endParaRPr kumimoji="1" lang="ja-JP" altLang="en-US" sz="1100"/>
        </a:p>
      </xdr:txBody>
    </xdr:sp>
    <xdr:clientData/>
  </xdr:twoCellAnchor>
  <xdr:twoCellAnchor>
    <xdr:from>
      <xdr:col>16</xdr:col>
      <xdr:colOff>160020</xdr:colOff>
      <xdr:row>0</xdr:row>
      <xdr:rowOff>76200</xdr:rowOff>
    </xdr:from>
    <xdr:to>
      <xdr:col>20</xdr:col>
      <xdr:colOff>373380</xdr:colOff>
      <xdr:row>4</xdr:row>
      <xdr:rowOff>38100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A9FDBBCA-3836-0093-29A5-20F51529F16D}"/>
            </a:ext>
          </a:extLst>
        </xdr:cNvPr>
        <xdr:cNvSpPr/>
      </xdr:nvSpPr>
      <xdr:spPr>
        <a:xfrm>
          <a:off x="9784080" y="76200"/>
          <a:ext cx="2651760" cy="701040"/>
        </a:xfrm>
        <a:prstGeom prst="wedgeRectCallout">
          <a:avLst>
            <a:gd name="adj1" fmla="val -53305"/>
            <a:gd name="adj2" fmla="val 63321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Chú</a:t>
          </a:r>
          <a:r>
            <a:rPr kumimoji="1" lang="en-US" altLang="ja-JP" sz="1100" baseline="0"/>
            <a:t> ý:  Màu sẫm là dữ liệu liên kết sheet.</a:t>
          </a:r>
        </a:p>
        <a:p>
          <a:pPr algn="l"/>
          <a:r>
            <a:rPr kumimoji="1" lang="en-US" altLang="ja-JP" sz="1100"/>
            <a:t>Dữ</a:t>
          </a:r>
          <a:r>
            <a:rPr kumimoji="1" lang="en-US" altLang="ja-JP" sz="1100" baseline="0"/>
            <a:t> liệu bên dưới thì không làm liên kết đến sheet khác.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251460</xdr:colOff>
      <xdr:row>16</xdr:row>
      <xdr:rowOff>22860</xdr:rowOff>
    </xdr:from>
    <xdr:to>
      <xdr:col>15</xdr:col>
      <xdr:colOff>464820</xdr:colOff>
      <xdr:row>28</xdr:row>
      <xdr:rowOff>76200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D395799A-08AF-4387-ABDC-811D47799DD3}"/>
            </a:ext>
          </a:extLst>
        </xdr:cNvPr>
        <xdr:cNvSpPr/>
      </xdr:nvSpPr>
      <xdr:spPr>
        <a:xfrm>
          <a:off x="7353300" y="3147060"/>
          <a:ext cx="2651760" cy="2065020"/>
        </a:xfrm>
        <a:prstGeom prst="wedgeRectCallout">
          <a:avLst>
            <a:gd name="adj1" fmla="val -61350"/>
            <a:gd name="adj2" fmla="val -600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Sẫm</a:t>
          </a:r>
          <a:r>
            <a:rPr kumimoji="1" lang="en-US" altLang="ja-JP" sz="1100" baseline="0"/>
            <a:t> màu là dữ liệu liên kết sheet</a:t>
          </a:r>
          <a:endParaRPr kumimoji="1" lang="en-US" altLang="ja-JP" sz="1100"/>
        </a:p>
        <a:p>
          <a:pPr algn="l"/>
          <a:r>
            <a:rPr kumimoji="1" lang="en-US" altLang="ja-JP" sz="1100"/>
            <a:t>1&gt; Copy</a:t>
          </a:r>
          <a:r>
            <a:rPr kumimoji="1" lang="en-US" altLang="ja-JP" sz="1100" baseline="0"/>
            <a:t> lợi tức vào hàng 4</a:t>
          </a:r>
        </a:p>
        <a:p>
          <a:pPr algn="l"/>
          <a:r>
            <a:rPr kumimoji="1" lang="en-US" altLang="ja-JP" sz="1100" baseline="0"/>
            <a:t>2&gt; Xác nhận số LPB trong công thức ở cột C OK xong.</a:t>
          </a:r>
        </a:p>
        <a:p>
          <a:pPr algn="l"/>
          <a:r>
            <a:rPr kumimoji="1" lang="en-US" altLang="ja-JP" sz="1100" baseline="0"/>
            <a:t>3&gt;Copy LPB sở hữu cột C vào mỗi tuần tương ứng.</a:t>
          </a:r>
          <a:r>
            <a:rPr kumimoji="1" lang="ja-JP" altLang="en-US" sz="1100" baseline="0"/>
            <a:t> </a:t>
          </a:r>
          <a:r>
            <a:rPr kumimoji="1" lang="en-US" altLang="ja-JP" sz="1100" baseline="0"/>
            <a:t>(Copy, Ctrl+Alt+V -&gt; Value:</a:t>
          </a:r>
        </a:p>
        <a:p>
          <a:pPr algn="l"/>
          <a:r>
            <a:rPr kumimoji="1" lang="en-US" altLang="ja-JP" sz="1100" baseline="0"/>
            <a:t>Không copy công thức, chỉ copy giá trị để lưu lịch sử.)</a:t>
          </a:r>
        </a:p>
        <a:p>
          <a:pPr algn="l"/>
          <a:endParaRPr kumimoji="1" lang="en-US" altLang="ja-JP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651A8AFE-6118-5F71-B777-A885FD67BAEF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4</xdr:row>
      <xdr:rowOff>30480</xdr:rowOff>
    </xdr:from>
    <xdr:to>
      <xdr:col>14</xdr:col>
      <xdr:colOff>579120</xdr:colOff>
      <xdr:row>19</xdr:row>
      <xdr:rowOff>53340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2C210785-3313-7D04-481D-70C385DD2932}"/>
            </a:ext>
          </a:extLst>
        </xdr:cNvPr>
        <xdr:cNvSpPr/>
      </xdr:nvSpPr>
      <xdr:spPr>
        <a:xfrm>
          <a:off x="12740640" y="12344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E0AE7802-68D4-4946-92D1-6E1320553F68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8</xdr:col>
      <xdr:colOff>601980</xdr:colOff>
      <xdr:row>5</xdr:row>
      <xdr:rowOff>91440</xdr:rowOff>
    </xdr:from>
    <xdr:to>
      <xdr:col>11</xdr:col>
      <xdr:colOff>525780</xdr:colOff>
      <xdr:row>20</xdr:row>
      <xdr:rowOff>114300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FEDEB8A8-1152-4E7E-9685-41AAC911EB82}"/>
            </a:ext>
          </a:extLst>
        </xdr:cNvPr>
        <xdr:cNvSpPr/>
      </xdr:nvSpPr>
      <xdr:spPr>
        <a:xfrm>
          <a:off x="10660380" y="179832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Khởi</a:t>
          </a:r>
          <a:r>
            <a:rPr kumimoji="1" lang="en-US" altLang="ja-JP" sz="1100" baseline="0"/>
            <a:t> động lại cái excel này</a:t>
          </a:r>
          <a:endParaRPr kumimoji="1" lang="en-US" altLang="ja-JP" sz="1100"/>
        </a:p>
        <a:p>
          <a:pPr algn="l"/>
          <a:r>
            <a:rPr kumimoji="1" lang="en-US" altLang="ja-JP" sz="1100"/>
            <a:t>3&gt; 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1DCFA-A1E3-41EC-B341-494D2492F620}">
  <sheetPr codeName="Sheet1"/>
  <dimension ref="A1:P23"/>
  <sheetViews>
    <sheetView tabSelected="1" zoomScaleNormal="100" workbookViewId="0">
      <pane xSplit="1" ySplit="5" topLeftCell="B6" activePane="bottomRight" state="frozen"/>
      <selection pane="topRight" activeCell="B1" sqref="B1"/>
      <selection pane="bottomLeft" activeCell="A4" sqref="A4"/>
      <selection pane="bottomRight" activeCell="K28" sqref="K28"/>
    </sheetView>
  </sheetViews>
  <sheetFormatPr defaultRowHeight="13.2" x14ac:dyDescent="0.2"/>
  <cols>
    <col min="1" max="1" width="8.88671875" style="4"/>
    <col min="2" max="2" width="12.44140625" style="4" customWidth="1"/>
    <col min="3" max="6" width="8.88671875" style="4"/>
    <col min="7" max="7" width="9" style="4" customWidth="1"/>
    <col min="8" max="8" width="0.44140625" style="7" customWidth="1"/>
    <col min="9" max="9" width="9.21875" style="4" customWidth="1"/>
    <col min="10" max="12" width="8.88671875" style="4"/>
    <col min="13" max="13" width="11.44140625" style="4" bestFit="1" customWidth="1"/>
    <col min="14" max="16384" width="8.88671875" style="4"/>
  </cols>
  <sheetData>
    <row r="1" spans="1:16" ht="14.4" x14ac:dyDescent="0.2">
      <c r="A1" s="87" t="s">
        <v>12</v>
      </c>
      <c r="B1" s="88"/>
      <c r="C1" s="88"/>
      <c r="D1" s="88"/>
      <c r="E1" s="88"/>
      <c r="F1" s="88"/>
      <c r="G1" s="88"/>
      <c r="H1" s="15"/>
      <c r="I1" s="74" t="s">
        <v>101</v>
      </c>
      <c r="J1" s="50" t="s">
        <v>95</v>
      </c>
      <c r="K1" s="50"/>
      <c r="L1" s="50"/>
      <c r="M1" s="50"/>
      <c r="N1" s="62">
        <f>'Quản lý ví'!L2</f>
        <v>2.3383454782314148</v>
      </c>
      <c r="O1" s="50" t="s">
        <v>93</v>
      </c>
      <c r="P1" s="51"/>
    </row>
    <row r="2" spans="1:16" ht="14.4" x14ac:dyDescent="0.2">
      <c r="A2" s="89"/>
      <c r="B2" s="90"/>
      <c r="C2" s="90"/>
      <c r="D2" s="90"/>
      <c r="E2" s="90"/>
      <c r="F2" s="90"/>
      <c r="G2" s="90"/>
      <c r="H2" s="2"/>
      <c r="I2" s="75"/>
      <c r="J2" s="52" t="s">
        <v>96</v>
      </c>
      <c r="K2" s="52"/>
      <c r="L2" s="52"/>
      <c r="M2" s="52"/>
      <c r="N2" s="63">
        <f>'Tài sản Quỹ'!M2</f>
        <v>0.7877406408311628</v>
      </c>
      <c r="O2" s="52" t="s">
        <v>94</v>
      </c>
      <c r="P2" s="53"/>
    </row>
    <row r="3" spans="1:16" ht="14.4" x14ac:dyDescent="0.3">
      <c r="A3" s="21"/>
      <c r="B3" s="91" t="s">
        <v>36</v>
      </c>
      <c r="C3" s="92"/>
      <c r="D3" s="97" t="s">
        <v>104</v>
      </c>
      <c r="E3" s="97"/>
      <c r="F3" s="97"/>
      <c r="G3" s="98"/>
      <c r="H3" s="2"/>
      <c r="I3" s="75"/>
      <c r="J3" s="80" t="s">
        <v>39</v>
      </c>
      <c r="K3" s="80"/>
      <c r="L3" s="80"/>
      <c r="M3" s="80"/>
      <c r="N3" s="80"/>
      <c r="O3" s="80"/>
      <c r="P3" s="81"/>
    </row>
    <row r="4" spans="1:16" ht="15" thickBot="1" x14ac:dyDescent="0.25">
      <c r="A4" s="22"/>
      <c r="B4" s="93" t="s">
        <v>37</v>
      </c>
      <c r="C4" s="94"/>
      <c r="D4" s="95">
        <f>'Quản lý ví'!$H$2</f>
        <v>7155.427885248746</v>
      </c>
      <c r="E4" s="95"/>
      <c r="F4" s="95"/>
      <c r="G4" s="96"/>
      <c r="H4" s="16"/>
      <c r="I4" s="76"/>
      <c r="J4" s="77" t="s">
        <v>100</v>
      </c>
      <c r="K4" s="78"/>
      <c r="L4" s="78"/>
      <c r="M4" s="78"/>
      <c r="N4" s="78"/>
      <c r="O4" s="78"/>
      <c r="P4" s="79"/>
    </row>
    <row r="5" spans="1:16" s="1" customFormat="1" ht="19.2" customHeight="1" x14ac:dyDescent="0.2">
      <c r="A5" s="11" t="s">
        <v>29</v>
      </c>
      <c r="B5" s="12" t="s">
        <v>21</v>
      </c>
      <c r="C5" s="11" t="s">
        <v>28</v>
      </c>
      <c r="D5" s="11" t="s">
        <v>1</v>
      </c>
      <c r="E5" s="11" t="s">
        <v>26</v>
      </c>
      <c r="F5" s="11" t="s">
        <v>3</v>
      </c>
      <c r="G5" s="11" t="s">
        <v>27</v>
      </c>
      <c r="H5" s="3"/>
      <c r="I5" s="12" t="s">
        <v>21</v>
      </c>
      <c r="J5" s="11" t="s">
        <v>28</v>
      </c>
      <c r="K5" s="11" t="s">
        <v>1</v>
      </c>
      <c r="L5" s="11" t="s">
        <v>2</v>
      </c>
      <c r="M5" s="11" t="s">
        <v>0</v>
      </c>
      <c r="N5" s="11" t="s">
        <v>3</v>
      </c>
      <c r="O5" s="11" t="s">
        <v>4</v>
      </c>
      <c r="P5" s="11" t="s">
        <v>5</v>
      </c>
    </row>
    <row r="6" spans="1:16" x14ac:dyDescent="0.2">
      <c r="A6" s="8"/>
      <c r="B6" s="70" t="s">
        <v>19</v>
      </c>
      <c r="C6" s="5" t="s">
        <v>24</v>
      </c>
      <c r="D6" s="5">
        <v>400</v>
      </c>
      <c r="E6" s="5">
        <v>2000</v>
      </c>
      <c r="F6" s="5">
        <v>0</v>
      </c>
      <c r="G6" s="5">
        <v>4.16</v>
      </c>
      <c r="H6" s="2"/>
      <c r="I6" s="70" t="s">
        <v>22</v>
      </c>
      <c r="J6" s="5" t="s">
        <v>24</v>
      </c>
      <c r="K6" s="5">
        <v>471</v>
      </c>
      <c r="L6" s="5">
        <v>1200</v>
      </c>
      <c r="M6" s="5">
        <v>1500</v>
      </c>
      <c r="N6" s="5">
        <v>0</v>
      </c>
      <c r="O6" s="5">
        <v>8.8000000000000007</v>
      </c>
      <c r="P6" s="5">
        <v>7.85</v>
      </c>
    </row>
    <row r="7" spans="1:16" x14ac:dyDescent="0.2">
      <c r="A7" s="9"/>
      <c r="B7" s="71"/>
      <c r="C7" s="5" t="s">
        <v>25</v>
      </c>
      <c r="D7" s="56">
        <v>527</v>
      </c>
      <c r="E7" s="56">
        <v>1985</v>
      </c>
      <c r="F7" s="56">
        <v>30</v>
      </c>
      <c r="G7" s="56">
        <v>4.66</v>
      </c>
      <c r="H7" s="2"/>
      <c r="I7" s="71"/>
      <c r="J7" s="5" t="s">
        <v>25</v>
      </c>
      <c r="K7" s="56">
        <v>618</v>
      </c>
      <c r="L7" s="56">
        <v>1197</v>
      </c>
      <c r="M7" s="56">
        <v>1496</v>
      </c>
      <c r="N7" s="56">
        <v>50</v>
      </c>
      <c r="O7" s="56">
        <v>10.37</v>
      </c>
      <c r="P7" s="56">
        <v>8.92</v>
      </c>
    </row>
    <row r="8" spans="1:16" ht="14.4" x14ac:dyDescent="0.2">
      <c r="A8" s="9"/>
      <c r="B8" s="72"/>
      <c r="C8" s="17" t="s">
        <v>11</v>
      </c>
      <c r="D8" s="33">
        <f>ROUNDDOWN(D7-D6+(E7-E6)/G6+(F7-F6)/A11,1)</f>
        <v>128.5</v>
      </c>
      <c r="E8" s="5" t="s">
        <v>85</v>
      </c>
      <c r="F8" s="5">
        <f>D6+E6/G6</f>
        <v>880.76923076923072</v>
      </c>
      <c r="G8" s="5"/>
      <c r="H8" s="2"/>
      <c r="I8" s="72"/>
      <c r="J8" s="17" t="s">
        <v>11</v>
      </c>
      <c r="K8" s="17">
        <f>ROUNDDOWN(K7-K6+(L7-L6)/O7+(M7-M6)/P7+(N7-N6)/A11,1)</f>
        <v>154.80000000000001</v>
      </c>
      <c r="L8" s="5" t="s">
        <v>85</v>
      </c>
      <c r="M8" s="5">
        <f>K6+L6/O6+M6/P6</f>
        <v>798.44643891140709</v>
      </c>
      <c r="N8" s="5"/>
      <c r="O8" s="5"/>
      <c r="P8" s="5"/>
    </row>
    <row r="9" spans="1:16" x14ac:dyDescent="0.2">
      <c r="A9" s="9" t="s">
        <v>6</v>
      </c>
      <c r="B9" s="73" t="s">
        <v>20</v>
      </c>
      <c r="C9" s="5" t="s">
        <v>24</v>
      </c>
      <c r="D9" s="5">
        <v>375</v>
      </c>
      <c r="E9" s="5">
        <v>2000</v>
      </c>
      <c r="F9" s="5">
        <v>0</v>
      </c>
      <c r="G9" s="5">
        <v>4.16</v>
      </c>
      <c r="H9" s="2"/>
      <c r="I9" s="73" t="s">
        <v>17</v>
      </c>
      <c r="J9" s="5" t="s">
        <v>24</v>
      </c>
      <c r="K9" s="5">
        <v>300</v>
      </c>
      <c r="L9" s="5">
        <v>1000</v>
      </c>
      <c r="M9" s="5">
        <v>1000</v>
      </c>
      <c r="N9" s="5">
        <v>0</v>
      </c>
      <c r="O9" s="5">
        <v>8.8000000000000007</v>
      </c>
      <c r="P9" s="5">
        <v>7.85</v>
      </c>
    </row>
    <row r="10" spans="1:16" x14ac:dyDescent="0.2">
      <c r="A10" s="9" t="s">
        <v>30</v>
      </c>
      <c r="B10" s="73"/>
      <c r="C10" s="5" t="s">
        <v>25</v>
      </c>
      <c r="D10" s="56">
        <v>397</v>
      </c>
      <c r="E10" s="56">
        <v>1972</v>
      </c>
      <c r="F10" s="56">
        <v>28</v>
      </c>
      <c r="G10" s="56">
        <f>G7</f>
        <v>4.66</v>
      </c>
      <c r="H10" s="2"/>
      <c r="I10" s="73"/>
      <c r="J10" s="5" t="s">
        <v>25</v>
      </c>
      <c r="K10" s="56">
        <v>391</v>
      </c>
      <c r="L10" s="56">
        <v>984</v>
      </c>
      <c r="M10" s="56">
        <v>999</v>
      </c>
      <c r="N10" s="56">
        <v>29</v>
      </c>
      <c r="O10" s="56">
        <f>O7</f>
        <v>10.37</v>
      </c>
      <c r="P10" s="56">
        <f>P7</f>
        <v>8.92</v>
      </c>
    </row>
    <row r="11" spans="1:16" ht="14.4" x14ac:dyDescent="0.2">
      <c r="A11" s="9">
        <v>5.8</v>
      </c>
      <c r="B11" s="73"/>
      <c r="C11" s="17" t="s">
        <v>11</v>
      </c>
      <c r="D11" s="17">
        <f>ROUNDDOWN(D10-D9+(E10-E9)/G9+(F10-F9)/A11,1)</f>
        <v>20</v>
      </c>
      <c r="E11" s="5" t="s">
        <v>85</v>
      </c>
      <c r="F11" s="5">
        <f>D9+E9/G9</f>
        <v>855.76923076923072</v>
      </c>
      <c r="G11" s="5"/>
      <c r="H11" s="2"/>
      <c r="I11" s="73"/>
      <c r="J11" s="17" t="s">
        <v>11</v>
      </c>
      <c r="K11" s="17">
        <f>ROUNDDOWN(K10-K9+(L10-L9)/O10+(M10-M9)/P10+(N10-N9)/A11,1)</f>
        <v>94.3</v>
      </c>
      <c r="L11" s="5" t="s">
        <v>85</v>
      </c>
      <c r="M11" s="5">
        <f>K9+L9/O9+M9/P9</f>
        <v>541.02489866821077</v>
      </c>
      <c r="N11" s="5"/>
      <c r="O11" s="5"/>
      <c r="P11" s="5"/>
    </row>
    <row r="12" spans="1:16" x14ac:dyDescent="0.2">
      <c r="A12" s="9"/>
      <c r="B12" s="73" t="s">
        <v>18</v>
      </c>
      <c r="C12" s="5" t="s">
        <v>24</v>
      </c>
      <c r="D12" s="5">
        <v>230</v>
      </c>
      <c r="E12" s="5">
        <v>5000</v>
      </c>
      <c r="F12" s="5">
        <v>0</v>
      </c>
      <c r="G12" s="5">
        <v>79</v>
      </c>
      <c r="H12" s="2"/>
      <c r="I12" s="85" t="s">
        <v>31</v>
      </c>
      <c r="J12" s="86" t="s">
        <v>32</v>
      </c>
      <c r="K12" s="86" t="s">
        <v>33</v>
      </c>
      <c r="L12" s="86" t="s">
        <v>34</v>
      </c>
      <c r="M12" s="82" t="s">
        <v>35</v>
      </c>
      <c r="N12" s="84" t="s">
        <v>105</v>
      </c>
      <c r="O12" s="84"/>
      <c r="P12" s="84"/>
    </row>
    <row r="13" spans="1:16" x14ac:dyDescent="0.2">
      <c r="A13" s="9"/>
      <c r="B13" s="73"/>
      <c r="C13" s="5" t="s">
        <v>25</v>
      </c>
      <c r="D13" s="56">
        <v>257</v>
      </c>
      <c r="E13" s="56">
        <v>4991</v>
      </c>
      <c r="F13" s="56">
        <v>29</v>
      </c>
      <c r="G13" s="56">
        <v>76</v>
      </c>
      <c r="H13" s="2"/>
      <c r="I13" s="85"/>
      <c r="J13" s="82"/>
      <c r="K13" s="82"/>
      <c r="L13" s="82"/>
      <c r="M13" s="83"/>
      <c r="N13" s="84"/>
      <c r="O13" s="84"/>
      <c r="P13" s="84"/>
    </row>
    <row r="14" spans="1:16" ht="14.4" x14ac:dyDescent="0.2">
      <c r="A14" s="10"/>
      <c r="B14" s="73"/>
      <c r="C14" s="17" t="s">
        <v>11</v>
      </c>
      <c r="D14" s="17">
        <f>ROUNDDOWN(D13-D12+(E13-E12)/G12+(F13-F12)/A11,1)</f>
        <v>31.8</v>
      </c>
      <c r="E14" s="5" t="s">
        <v>85</v>
      </c>
      <c r="F14" s="5">
        <f>D12+E12/G12</f>
        <v>293.29113924050631</v>
      </c>
      <c r="G14" s="5"/>
      <c r="H14" s="2"/>
      <c r="I14" s="85"/>
      <c r="J14" s="54">
        <v>6505.46</v>
      </c>
      <c r="K14" s="18">
        <f>D8+D11+D14+K8+K11</f>
        <v>429.40000000000003</v>
      </c>
      <c r="L14" s="18">
        <f>K14/2</f>
        <v>214.70000000000002</v>
      </c>
      <c r="M14" s="19">
        <f>ROUNDDOWN(L14/J14,6)</f>
        <v>3.3002999999999998E-2</v>
      </c>
      <c r="N14" s="84"/>
      <c r="O14" s="84"/>
      <c r="P14" s="84"/>
    </row>
    <row r="15" spans="1:16" x14ac:dyDescent="0.2">
      <c r="A15" s="24"/>
      <c r="B15" s="70" t="s">
        <v>19</v>
      </c>
      <c r="C15" s="5" t="s">
        <v>24</v>
      </c>
      <c r="D15" s="5">
        <v>400</v>
      </c>
      <c r="E15" s="5">
        <v>2000</v>
      </c>
      <c r="F15" s="5">
        <v>0</v>
      </c>
      <c r="G15" s="5">
        <v>4.16</v>
      </c>
      <c r="H15" s="2"/>
      <c r="I15" s="70" t="s">
        <v>22</v>
      </c>
      <c r="J15" s="5" t="s">
        <v>24</v>
      </c>
      <c r="K15" s="5">
        <v>471</v>
      </c>
      <c r="L15" s="5">
        <v>1200</v>
      </c>
      <c r="M15" s="5">
        <v>1500</v>
      </c>
      <c r="N15" s="5">
        <v>0</v>
      </c>
      <c r="O15" s="5">
        <v>8.8000000000000007</v>
      </c>
      <c r="P15" s="5">
        <v>7.85</v>
      </c>
    </row>
    <row r="16" spans="1:16" x14ac:dyDescent="0.2">
      <c r="A16" s="25"/>
      <c r="B16" s="71"/>
      <c r="C16" s="5" t="s">
        <v>25</v>
      </c>
      <c r="D16" s="5"/>
      <c r="E16" s="5"/>
      <c r="F16" s="5"/>
      <c r="G16" s="5"/>
      <c r="H16" s="2"/>
      <c r="I16" s="71"/>
      <c r="J16" s="5" t="s">
        <v>25</v>
      </c>
      <c r="K16" s="5"/>
      <c r="L16" s="5"/>
      <c r="M16" s="5"/>
      <c r="N16" s="5"/>
      <c r="O16" s="5"/>
      <c r="P16" s="5"/>
    </row>
    <row r="17" spans="1:16" x14ac:dyDescent="0.2">
      <c r="A17" s="25"/>
      <c r="B17" s="72"/>
      <c r="C17" s="27" t="s">
        <v>11</v>
      </c>
      <c r="D17" s="33" t="e">
        <f>ROUNDDOWN(D16-D15+(E16-E15)/G16+(F16-F15)/A20,1)</f>
        <v>#DIV/0!</v>
      </c>
      <c r="E17" s="5"/>
      <c r="F17" s="5"/>
      <c r="G17" s="5"/>
      <c r="H17" s="2"/>
      <c r="I17" s="72"/>
      <c r="J17" s="27" t="s">
        <v>11</v>
      </c>
      <c r="K17" s="27" t="e">
        <f>ROUNDDOWN(K16-K15+(L16-L15)/O16+(M16-M15)/P16+(N16-N15)/A20,1)</f>
        <v>#DIV/0!</v>
      </c>
      <c r="L17" s="5"/>
      <c r="M17" s="5"/>
      <c r="N17" s="5"/>
      <c r="O17" s="5"/>
      <c r="P17" s="5"/>
    </row>
    <row r="18" spans="1:16" ht="14.4" x14ac:dyDescent="0.2">
      <c r="A18" s="25" t="s">
        <v>92</v>
      </c>
      <c r="B18" s="73" t="s">
        <v>20</v>
      </c>
      <c r="C18" s="5" t="s">
        <v>24</v>
      </c>
      <c r="D18" s="5">
        <v>375</v>
      </c>
      <c r="E18" s="5">
        <v>2000</v>
      </c>
      <c r="F18" s="5">
        <v>0</v>
      </c>
      <c r="G18" s="5">
        <v>4.16</v>
      </c>
      <c r="H18" s="2"/>
      <c r="I18" s="73" t="s">
        <v>17</v>
      </c>
      <c r="J18" s="5" t="s">
        <v>24</v>
      </c>
      <c r="K18" s="5">
        <v>300</v>
      </c>
      <c r="L18" s="5">
        <v>1000</v>
      </c>
      <c r="M18" s="5">
        <v>1000</v>
      </c>
      <c r="N18" s="5">
        <v>0</v>
      </c>
      <c r="O18" s="5">
        <v>8.8000000000000007</v>
      </c>
      <c r="P18" s="5">
        <v>7.85</v>
      </c>
    </row>
    <row r="19" spans="1:16" x14ac:dyDescent="0.2">
      <c r="A19" s="25" t="s">
        <v>30</v>
      </c>
      <c r="B19" s="73"/>
      <c r="C19" s="5" t="s">
        <v>25</v>
      </c>
      <c r="D19" s="5"/>
      <c r="E19" s="5"/>
      <c r="F19" s="5"/>
      <c r="G19" s="5"/>
      <c r="H19" s="2"/>
      <c r="I19" s="73"/>
      <c r="J19" s="5" t="s">
        <v>25</v>
      </c>
      <c r="K19" s="5"/>
      <c r="L19" s="5"/>
      <c r="M19" s="5"/>
      <c r="N19" s="5"/>
      <c r="O19" s="5"/>
      <c r="P19" s="5"/>
    </row>
    <row r="20" spans="1:16" x14ac:dyDescent="0.2">
      <c r="A20" s="25">
        <v>5.8</v>
      </c>
      <c r="B20" s="73"/>
      <c r="C20" s="27" t="s">
        <v>11</v>
      </c>
      <c r="D20" s="27" t="e">
        <f>ROUNDDOWN(D19-D18+(E19-E18)/G19+(F19-F18)/A20,1)</f>
        <v>#DIV/0!</v>
      </c>
      <c r="E20" s="5"/>
      <c r="F20" s="5"/>
      <c r="G20" s="5"/>
      <c r="H20" s="2"/>
      <c r="I20" s="73"/>
      <c r="J20" s="27" t="s">
        <v>11</v>
      </c>
      <c r="K20" s="27" t="e">
        <f>ROUNDDOWN(K19-K18+(L19-L18)/O19+(M19-M18)/P19+(N19-N18)/A20,1)</f>
        <v>#DIV/0!</v>
      </c>
      <c r="L20" s="5"/>
      <c r="M20" s="5"/>
      <c r="N20" s="5"/>
      <c r="O20" s="5"/>
      <c r="P20" s="5"/>
    </row>
    <row r="21" spans="1:16" x14ac:dyDescent="0.2">
      <c r="A21" s="25"/>
      <c r="B21" s="73" t="s">
        <v>18</v>
      </c>
      <c r="C21" s="5" t="s">
        <v>24</v>
      </c>
      <c r="D21" s="5">
        <v>230</v>
      </c>
      <c r="E21" s="5">
        <v>5000</v>
      </c>
      <c r="F21" s="5">
        <v>0</v>
      </c>
      <c r="G21" s="5">
        <v>79</v>
      </c>
      <c r="H21" s="2"/>
      <c r="I21" s="85" t="s">
        <v>31</v>
      </c>
      <c r="J21" s="86" t="s">
        <v>32</v>
      </c>
      <c r="K21" s="86" t="s">
        <v>33</v>
      </c>
      <c r="L21" s="86" t="s">
        <v>34</v>
      </c>
      <c r="M21" s="82" t="s">
        <v>35</v>
      </c>
      <c r="N21" s="84" t="s">
        <v>105</v>
      </c>
      <c r="O21" s="84"/>
      <c r="P21" s="84"/>
    </row>
    <row r="22" spans="1:16" x14ac:dyDescent="0.2">
      <c r="A22" s="25"/>
      <c r="B22" s="73"/>
      <c r="C22" s="5" t="s">
        <v>25</v>
      </c>
      <c r="D22" s="5"/>
      <c r="E22" s="5"/>
      <c r="F22" s="5"/>
      <c r="G22" s="5"/>
      <c r="H22" s="2"/>
      <c r="I22" s="85"/>
      <c r="J22" s="82"/>
      <c r="K22" s="82"/>
      <c r="L22" s="82"/>
      <c r="M22" s="83"/>
      <c r="N22" s="84"/>
      <c r="O22" s="84"/>
      <c r="P22" s="84"/>
    </row>
    <row r="23" spans="1:16" x14ac:dyDescent="0.2">
      <c r="A23" s="26"/>
      <c r="B23" s="73"/>
      <c r="C23" s="27" t="s">
        <v>11</v>
      </c>
      <c r="D23" s="27" t="e">
        <f>ROUNDDOWN(D22-D21+(E22-E21)/G22+(F22-F21)/A20,1)</f>
        <v>#DIV/0!</v>
      </c>
      <c r="E23" s="5"/>
      <c r="F23" s="5"/>
      <c r="G23" s="5"/>
      <c r="H23" s="2"/>
      <c r="I23" s="85"/>
      <c r="J23" s="54">
        <f>7155.45</f>
        <v>7155.45</v>
      </c>
      <c r="K23" s="23" t="e">
        <f>D17+D20+D23+K17+K20</f>
        <v>#DIV/0!</v>
      </c>
      <c r="L23" s="23" t="e">
        <f>K23/2</f>
        <v>#DIV/0!</v>
      </c>
      <c r="M23" s="19" t="e">
        <f>ROUNDDOWN(L23/J23,6)</f>
        <v>#DIV/0!</v>
      </c>
      <c r="N23" s="84"/>
      <c r="O23" s="84"/>
      <c r="P23" s="84"/>
    </row>
  </sheetData>
  <mergeCells count="30">
    <mergeCell ref="J21:J22"/>
    <mergeCell ref="K21:K22"/>
    <mergeCell ref="L21:L22"/>
    <mergeCell ref="M21:M22"/>
    <mergeCell ref="N21:P23"/>
    <mergeCell ref="B15:B17"/>
    <mergeCell ref="I15:I17"/>
    <mergeCell ref="B18:B20"/>
    <mergeCell ref="I18:I20"/>
    <mergeCell ref="B21:B23"/>
    <mergeCell ref="I21:I23"/>
    <mergeCell ref="A1:G2"/>
    <mergeCell ref="B3:C3"/>
    <mergeCell ref="B4:C4"/>
    <mergeCell ref="D4:G4"/>
    <mergeCell ref="D3:G3"/>
    <mergeCell ref="I1:I4"/>
    <mergeCell ref="J4:P4"/>
    <mergeCell ref="J3:P3"/>
    <mergeCell ref="M12:M13"/>
    <mergeCell ref="N12:P14"/>
    <mergeCell ref="I12:I14"/>
    <mergeCell ref="J12:J13"/>
    <mergeCell ref="K12:K13"/>
    <mergeCell ref="L12:L13"/>
    <mergeCell ref="B6:B8"/>
    <mergeCell ref="I6:I8"/>
    <mergeCell ref="I9:I11"/>
    <mergeCell ref="B9:B11"/>
    <mergeCell ref="B12:B14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8AA1-D1EA-45A9-9302-9121DF5F6A14}">
  <sheetPr codeName="Sheet2"/>
  <dimension ref="A1:AA15"/>
  <sheetViews>
    <sheetView zoomScale="115" zoomScaleNormal="115" workbookViewId="0">
      <pane xSplit="4" ySplit="4" topLeftCell="E6" activePane="bottomRight" state="frozen"/>
      <selection pane="topRight" activeCell="D1" sqref="D1"/>
      <selection pane="bottomLeft" activeCell="A5" sqref="A5"/>
      <selection pane="bottomRight" activeCell="C29" sqref="C29"/>
    </sheetView>
  </sheetViews>
  <sheetFormatPr defaultRowHeight="13.2" x14ac:dyDescent="0.2"/>
  <cols>
    <col min="1" max="1" width="10.5546875" style="6" customWidth="1"/>
    <col min="2" max="2" width="18.109375" style="6" customWidth="1"/>
    <col min="3" max="4" width="9.33203125" style="6" customWidth="1"/>
    <col min="5" max="5" width="8.88671875" style="6"/>
    <col min="6" max="6" width="11.44140625" style="6" bestFit="1" customWidth="1"/>
    <col min="7" max="7" width="11.44140625" style="6" customWidth="1"/>
    <col min="8" max="16384" width="8.88671875" style="6"/>
  </cols>
  <sheetData>
    <row r="1" spans="1:27" s="20" customFormat="1" ht="16.2" x14ac:dyDescent="0.2">
      <c r="B1" s="99" t="s">
        <v>38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</row>
    <row r="2" spans="1:27" s="20" customFormat="1" ht="16.2" customHeight="1" x14ac:dyDescent="0.2">
      <c r="B2" s="102" t="s">
        <v>23</v>
      </c>
      <c r="C2" s="67" t="s">
        <v>102</v>
      </c>
      <c r="D2" s="67"/>
      <c r="E2" s="100">
        <v>1</v>
      </c>
      <c r="F2" s="101"/>
      <c r="G2" s="100">
        <v>2</v>
      </c>
      <c r="H2" s="101"/>
      <c r="I2" s="100">
        <v>3</v>
      </c>
      <c r="J2" s="101"/>
      <c r="K2" s="100">
        <v>4</v>
      </c>
      <c r="L2" s="101"/>
      <c r="M2" s="100">
        <v>5</v>
      </c>
      <c r="N2" s="101"/>
      <c r="O2" s="100">
        <v>6</v>
      </c>
      <c r="P2" s="101"/>
      <c r="Q2" s="100">
        <v>7</v>
      </c>
      <c r="R2" s="101"/>
      <c r="S2" s="100">
        <v>8</v>
      </c>
      <c r="T2" s="101"/>
      <c r="U2" s="100">
        <v>9</v>
      </c>
      <c r="V2" s="101"/>
      <c r="W2" s="35"/>
      <c r="X2" s="35"/>
      <c r="Y2" s="35"/>
      <c r="Z2" s="35"/>
      <c r="AA2" s="35"/>
    </row>
    <row r="3" spans="1:27" s="14" customFormat="1" ht="28.8" x14ac:dyDescent="0.2">
      <c r="B3" s="103"/>
      <c r="C3" s="68" t="s">
        <v>98</v>
      </c>
      <c r="D3" s="13" t="s">
        <v>106</v>
      </c>
      <c r="E3" s="13" t="s">
        <v>99</v>
      </c>
      <c r="F3" s="13" t="s">
        <v>103</v>
      </c>
      <c r="G3" s="13" t="s">
        <v>99</v>
      </c>
      <c r="H3" s="13" t="s">
        <v>103</v>
      </c>
      <c r="I3" s="13" t="s">
        <v>99</v>
      </c>
      <c r="J3" s="13" t="s">
        <v>103</v>
      </c>
      <c r="K3" s="13" t="s">
        <v>99</v>
      </c>
      <c r="L3" s="13" t="s">
        <v>103</v>
      </c>
      <c r="M3" s="13" t="s">
        <v>99</v>
      </c>
      <c r="N3" s="13" t="s">
        <v>103</v>
      </c>
      <c r="O3" s="13" t="s">
        <v>99</v>
      </c>
      <c r="P3" s="13" t="s">
        <v>103</v>
      </c>
      <c r="Q3" s="13" t="s">
        <v>99</v>
      </c>
      <c r="R3" s="13" t="s">
        <v>103</v>
      </c>
      <c r="S3" s="13" t="s">
        <v>99</v>
      </c>
      <c r="T3" s="13" t="s">
        <v>103</v>
      </c>
      <c r="U3" s="13" t="s">
        <v>99</v>
      </c>
      <c r="V3" s="13" t="s">
        <v>103</v>
      </c>
      <c r="W3" s="13"/>
      <c r="X3" s="13"/>
      <c r="Y3" s="13"/>
      <c r="Z3" s="13"/>
      <c r="AA3" s="13"/>
    </row>
    <row r="4" spans="1:27" s="14" customFormat="1" x14ac:dyDescent="0.2">
      <c r="B4" s="61"/>
      <c r="C4" s="55"/>
      <c r="D4" s="55">
        <f>SUM(C5:C29)</f>
        <v>7155.3899999999985</v>
      </c>
      <c r="E4" s="55"/>
      <c r="F4" s="55">
        <v>3.3002999999999998E-2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</row>
    <row r="5" spans="1:27" s="60" customFormat="1" x14ac:dyDescent="0.2">
      <c r="A5" s="57" t="s">
        <v>66</v>
      </c>
      <c r="B5" s="58" t="s">
        <v>65</v>
      </c>
      <c r="C5" s="65">
        <f>VLOOKUP($B5,'Quản lý ví'!$C$3:$G$36,5,FALSE)</f>
        <v>725.29</v>
      </c>
      <c r="D5" s="69">
        <f>C5/$D$4</f>
        <v>0.10136274892074368</v>
      </c>
      <c r="E5" s="60">
        <v>0</v>
      </c>
      <c r="F5" s="60">
        <f>ROUNDDOWN(E5*F$4,2)</f>
        <v>0</v>
      </c>
      <c r="G5" s="60">
        <v>636.41</v>
      </c>
    </row>
    <row r="6" spans="1:27" s="60" customFormat="1" x14ac:dyDescent="0.2">
      <c r="A6" s="57" t="s">
        <v>97</v>
      </c>
      <c r="B6" s="64" t="s">
        <v>67</v>
      </c>
      <c r="C6" s="65">
        <f>VLOOKUP($B6,'Quản lý ví'!$C$3:$G$36,5,FALSE)</f>
        <v>959.54</v>
      </c>
      <c r="D6" s="69">
        <f t="shared" ref="D6:D15" si="0">C6/$D$4</f>
        <v>0.13410030760028457</v>
      </c>
      <c r="E6" s="59">
        <f>533.79*2</f>
        <v>1067.58</v>
      </c>
      <c r="F6" s="60">
        <f>ROUNDDOWN(E6*F$4,2)</f>
        <v>35.229999999999997</v>
      </c>
      <c r="G6" s="60">
        <v>1067.57</v>
      </c>
    </row>
    <row r="7" spans="1:27" s="60" customFormat="1" x14ac:dyDescent="0.2">
      <c r="A7" s="57" t="s">
        <v>8</v>
      </c>
      <c r="B7" s="66" t="s">
        <v>52</v>
      </c>
      <c r="C7" s="65">
        <f>VLOOKUP($B7,'Quản lý ví'!$C$3:$G$36,5,FALSE)</f>
        <v>1599.28</v>
      </c>
      <c r="D7" s="69">
        <f t="shared" si="0"/>
        <v>0.22350703455716603</v>
      </c>
      <c r="E7" s="59">
        <f>799.64*2</f>
        <v>1599.28</v>
      </c>
      <c r="F7" s="60">
        <f t="shared" ref="F7:F15" si="1">ROUNDDOWN(E7*F$4,2)</f>
        <v>52.78</v>
      </c>
      <c r="G7" s="60">
        <v>1599.28</v>
      </c>
    </row>
    <row r="8" spans="1:27" s="60" customFormat="1" x14ac:dyDescent="0.2">
      <c r="A8" s="57" t="s">
        <v>7</v>
      </c>
      <c r="B8" s="66" t="s">
        <v>53</v>
      </c>
      <c r="C8" s="65">
        <f>VLOOKUP($B8,'Quản lý ví'!$C$3:$G$36,5,FALSE)</f>
        <v>1540</v>
      </c>
      <c r="D8" s="69">
        <f t="shared" si="0"/>
        <v>0.21522237082814499</v>
      </c>
      <c r="E8" s="59">
        <f>777.6*2</f>
        <v>1555.2</v>
      </c>
      <c r="F8" s="60">
        <f t="shared" si="1"/>
        <v>51.32</v>
      </c>
      <c r="G8" s="60">
        <v>1555.2</v>
      </c>
    </row>
    <row r="9" spans="1:27" s="60" customFormat="1" x14ac:dyDescent="0.2">
      <c r="A9" s="57" t="s">
        <v>14</v>
      </c>
      <c r="B9" s="66" t="s">
        <v>58</v>
      </c>
      <c r="C9" s="65">
        <f>VLOOKUP($B9,'Quản lý ví'!$C$3:$G$36,5,FALSE)</f>
        <v>284.36</v>
      </c>
      <c r="D9" s="69">
        <f t="shared" si="0"/>
        <v>3.974067101863072E-2</v>
      </c>
      <c r="E9" s="59">
        <f>142.18*2</f>
        <v>284.36</v>
      </c>
      <c r="F9" s="60">
        <f t="shared" si="1"/>
        <v>9.3800000000000008</v>
      </c>
      <c r="G9" s="60">
        <v>284.36</v>
      </c>
    </row>
    <row r="10" spans="1:27" s="60" customFormat="1" x14ac:dyDescent="0.2">
      <c r="A10" s="57" t="s">
        <v>15</v>
      </c>
      <c r="B10" s="66" t="s">
        <v>59</v>
      </c>
      <c r="C10" s="65">
        <f>VLOOKUP($B10,'Quản lý ví'!$C$3:$G$36,5,FALSE)</f>
        <v>401.94</v>
      </c>
      <c r="D10" s="69">
        <f t="shared" si="0"/>
        <v>5.6173038786145837E-2</v>
      </c>
      <c r="E10" s="59">
        <f>190.47*2</f>
        <v>380.94</v>
      </c>
      <c r="F10" s="60">
        <f t="shared" si="1"/>
        <v>12.57</v>
      </c>
      <c r="G10" s="60">
        <v>380.94</v>
      </c>
    </row>
    <row r="11" spans="1:27" s="60" customFormat="1" x14ac:dyDescent="0.2">
      <c r="A11" s="57" t="s">
        <v>9</v>
      </c>
      <c r="B11" s="66" t="s">
        <v>56</v>
      </c>
      <c r="C11" s="65">
        <f>VLOOKUP($B11,'Quản lý ví'!$C$3:$G$36,5,FALSE)</f>
        <v>571.75</v>
      </c>
      <c r="D11" s="69">
        <f t="shared" si="0"/>
        <v>7.9904799039605123E-2</v>
      </c>
      <c r="E11" s="59">
        <f>285.81*2</f>
        <v>571.62</v>
      </c>
      <c r="F11" s="60">
        <f t="shared" si="1"/>
        <v>18.86</v>
      </c>
      <c r="G11" s="60">
        <v>571.61</v>
      </c>
    </row>
    <row r="12" spans="1:27" s="60" customFormat="1" x14ac:dyDescent="0.2">
      <c r="A12" s="57" t="s">
        <v>10</v>
      </c>
      <c r="B12" s="66" t="s">
        <v>57</v>
      </c>
      <c r="C12" s="65">
        <f>VLOOKUP($B12,'Quản lý ví'!$C$3:$G$36,5,FALSE)</f>
        <v>486.45</v>
      </c>
      <c r="D12" s="69">
        <f t="shared" si="0"/>
        <v>6.7983715772305928E-2</v>
      </c>
      <c r="E12" s="59">
        <f>243.16*2</f>
        <v>486.32</v>
      </c>
      <c r="F12" s="60">
        <f t="shared" si="1"/>
        <v>16.05</v>
      </c>
      <c r="G12" s="60">
        <v>486.31</v>
      </c>
    </row>
    <row r="13" spans="1:27" s="60" customFormat="1" x14ac:dyDescent="0.2">
      <c r="A13" s="57" t="s">
        <v>16</v>
      </c>
      <c r="B13" s="66" t="s">
        <v>60</v>
      </c>
      <c r="C13" s="65">
        <f>VLOOKUP($B13,'Quản lý ví'!$C$3:$G$36,5,FALSE)</f>
        <v>212.48</v>
      </c>
      <c r="D13" s="69">
        <f t="shared" si="0"/>
        <v>2.9695096982833926E-2</v>
      </c>
      <c r="E13" s="59">
        <f>106.58*2</f>
        <v>213.16</v>
      </c>
      <c r="F13" s="60">
        <f t="shared" si="1"/>
        <v>7.03</v>
      </c>
      <c r="G13" s="60">
        <v>212.48</v>
      </c>
    </row>
    <row r="14" spans="1:27" s="60" customFormat="1" x14ac:dyDescent="0.2">
      <c r="A14" s="57" t="s">
        <v>62</v>
      </c>
      <c r="B14" s="66" t="s">
        <v>62</v>
      </c>
      <c r="C14" s="65">
        <f>VLOOKUP($B14,'Quản lý ví'!$C$3:$G$36,5,FALSE)</f>
        <v>173.5</v>
      </c>
      <c r="D14" s="69">
        <f t="shared" si="0"/>
        <v>2.4247455414729321E-2</v>
      </c>
      <c r="E14" s="59">
        <f>86.75*2</f>
        <v>173.5</v>
      </c>
      <c r="F14" s="60">
        <f t="shared" si="1"/>
        <v>5.72</v>
      </c>
      <c r="G14" s="60">
        <v>173.5</v>
      </c>
    </row>
    <row r="15" spans="1:27" s="60" customFormat="1" x14ac:dyDescent="0.2">
      <c r="A15" s="57" t="s">
        <v>63</v>
      </c>
      <c r="B15" s="66" t="s">
        <v>64</v>
      </c>
      <c r="C15" s="65">
        <f>VLOOKUP($B15,'Quản lý ví'!$C$3:$G$36,5,FALSE)</f>
        <v>200.8</v>
      </c>
      <c r="D15" s="69">
        <f t="shared" si="0"/>
        <v>2.8062761079410074E-2</v>
      </c>
      <c r="E15" s="59">
        <f>86.75*2</f>
        <v>173.5</v>
      </c>
      <c r="F15" s="60">
        <f t="shared" si="1"/>
        <v>5.72</v>
      </c>
      <c r="G15" s="60">
        <v>187.76</v>
      </c>
    </row>
  </sheetData>
  <mergeCells count="11">
    <mergeCell ref="B1:AA1"/>
    <mergeCell ref="E2:F2"/>
    <mergeCell ref="G2:H2"/>
    <mergeCell ref="B2:B3"/>
    <mergeCell ref="I2:J2"/>
    <mergeCell ref="K2:L2"/>
    <mergeCell ref="M2:N2"/>
    <mergeCell ref="O2:P2"/>
    <mergeCell ref="Q2:R2"/>
    <mergeCell ref="S2:T2"/>
    <mergeCell ref="U2:V2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5B9B-B7EC-4264-9CAE-9181130C2B80}">
  <sheetPr codeName="Sheet4">
    <tabColor rgb="FF00B0F0"/>
  </sheetPr>
  <dimension ref="A1:L24"/>
  <sheetViews>
    <sheetView workbookViewId="0">
      <selection activeCell="J5" sqref="J5"/>
    </sheetView>
  </sheetViews>
  <sheetFormatPr defaultRowHeight="13.2" x14ac:dyDescent="0.2"/>
  <cols>
    <col min="1" max="1" width="10.5546875" style="32" customWidth="1"/>
    <col min="2" max="2" width="12.33203125" customWidth="1"/>
    <col min="3" max="3" width="26.66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</cols>
  <sheetData>
    <row r="1" spans="1:12" ht="36" customHeight="1" x14ac:dyDescent="0.2">
      <c r="A1" s="104" t="s">
        <v>40</v>
      </c>
      <c r="B1" s="104"/>
      <c r="C1" s="104"/>
      <c r="F1" t="s">
        <v>74</v>
      </c>
      <c r="G1" s="44">
        <v>44702.893703703703</v>
      </c>
      <c r="H1" s="45" t="s">
        <v>77</v>
      </c>
      <c r="I1" s="38" t="s">
        <v>68</v>
      </c>
      <c r="J1" s="39" t="s">
        <v>69</v>
      </c>
      <c r="K1" s="39" t="s">
        <v>76</v>
      </c>
      <c r="L1" s="40" t="s">
        <v>75</v>
      </c>
    </row>
    <row r="2" spans="1:12" ht="32.4" customHeight="1" x14ac:dyDescent="0.2">
      <c r="A2" s="31" t="s">
        <v>41</v>
      </c>
      <c r="B2" s="28" t="s">
        <v>42</v>
      </c>
      <c r="C2" s="28" t="s">
        <v>43</v>
      </c>
      <c r="D2" s="37" t="s">
        <v>71</v>
      </c>
      <c r="E2" s="37" t="s">
        <v>72</v>
      </c>
      <c r="F2" s="37" t="s">
        <v>70</v>
      </c>
      <c r="G2" s="37" t="s">
        <v>73</v>
      </c>
      <c r="H2">
        <f>SUM(E4:F28)</f>
        <v>7155.427885248746</v>
      </c>
      <c r="I2" s="41">
        <v>826.31451800000002</v>
      </c>
      <c r="J2" s="42">
        <v>1932.208816762271</v>
      </c>
      <c r="K2" s="42">
        <v>4.6376373208215336</v>
      </c>
      <c r="L2" s="43">
        <f>J2/I2</f>
        <v>2.3383454782314148</v>
      </c>
    </row>
    <row r="3" spans="1:12" x14ac:dyDescent="0.2">
      <c r="A3" s="30" t="s">
        <v>78</v>
      </c>
      <c r="B3" s="29" t="s">
        <v>1</v>
      </c>
      <c r="C3" s="34" t="s">
        <v>79</v>
      </c>
      <c r="D3">
        <v>0</v>
      </c>
      <c r="F3">
        <v>9992844.5399999991</v>
      </c>
      <c r="G3">
        <f>ROUNDDOWN(E3+F3,2)</f>
        <v>9992844.5399999991</v>
      </c>
      <c r="H3" s="47">
        <f>G3/(G3+$H$2)</f>
        <v>0.99928445720917713</v>
      </c>
      <c r="J3">
        <v>9992844.5399999991</v>
      </c>
    </row>
    <row r="4" spans="1:12" x14ac:dyDescent="0.2">
      <c r="A4" s="30" t="s">
        <v>66</v>
      </c>
      <c r="B4" s="29" t="s">
        <v>1</v>
      </c>
      <c r="C4" s="34" t="s">
        <v>65</v>
      </c>
      <c r="D4" s="36">
        <v>4.0706528312057744</v>
      </c>
      <c r="E4">
        <f>D4*$I$2/$K$2</f>
        <v>725.29163008531327</v>
      </c>
      <c r="F4" s="36">
        <v>0</v>
      </c>
      <c r="G4">
        <f t="shared" ref="G4:G19" si="0">ROUNDDOWN(E4+F4,2)</f>
        <v>725.29</v>
      </c>
      <c r="H4" s="46">
        <f>G4/$H$2</f>
        <v>0.10136221224382957</v>
      </c>
      <c r="J4">
        <v>636.41</v>
      </c>
      <c r="K4">
        <f>G4-J4</f>
        <v>88.88</v>
      </c>
    </row>
    <row r="5" spans="1:12" x14ac:dyDescent="0.2">
      <c r="A5" s="30" t="s">
        <v>13</v>
      </c>
      <c r="B5" s="29" t="s">
        <v>1</v>
      </c>
      <c r="C5" s="34" t="s">
        <v>67</v>
      </c>
      <c r="D5" s="36">
        <v>0.5477735695276712</v>
      </c>
      <c r="E5">
        <f t="shared" ref="E5:E19" si="1">D5*$I$2/$K$2</f>
        <v>97.599967777819998</v>
      </c>
      <c r="F5" s="36">
        <v>861.94033000000002</v>
      </c>
      <c r="G5">
        <f t="shared" si="0"/>
        <v>959.54</v>
      </c>
      <c r="H5" s="46">
        <f t="shared" ref="H5:H19" si="2">G5/$H$2</f>
        <v>0.13409959759054202</v>
      </c>
      <c r="J5">
        <v>1067.57</v>
      </c>
      <c r="K5">
        <f t="shared" ref="K5:K19" si="3">G5-J5</f>
        <v>-108.02999999999997</v>
      </c>
    </row>
    <row r="6" spans="1:12" x14ac:dyDescent="0.2">
      <c r="A6" s="30" t="s">
        <v>44</v>
      </c>
      <c r="B6" s="29" t="s">
        <v>1</v>
      </c>
      <c r="C6" s="30" t="s">
        <v>45</v>
      </c>
      <c r="D6" s="36">
        <v>0</v>
      </c>
      <c r="E6">
        <f t="shared" si="1"/>
        <v>0</v>
      </c>
      <c r="F6" s="36">
        <v>0</v>
      </c>
      <c r="G6">
        <f t="shared" si="0"/>
        <v>0</v>
      </c>
      <c r="H6" s="46">
        <f t="shared" si="2"/>
        <v>0</v>
      </c>
      <c r="J6">
        <v>0</v>
      </c>
      <c r="K6">
        <f t="shared" si="3"/>
        <v>0</v>
      </c>
    </row>
    <row r="7" spans="1:12" x14ac:dyDescent="0.2">
      <c r="A7" s="30" t="s">
        <v>46</v>
      </c>
      <c r="B7" s="29" t="s">
        <v>1</v>
      </c>
      <c r="C7" s="30" t="s">
        <v>47</v>
      </c>
      <c r="D7" s="36">
        <v>0</v>
      </c>
      <c r="E7">
        <f t="shared" si="1"/>
        <v>0</v>
      </c>
      <c r="F7" s="36">
        <v>0</v>
      </c>
      <c r="G7">
        <f t="shared" si="0"/>
        <v>0</v>
      </c>
      <c r="H7" s="46">
        <f t="shared" si="2"/>
        <v>0</v>
      </c>
      <c r="J7">
        <v>0</v>
      </c>
      <c r="K7">
        <f t="shared" si="3"/>
        <v>0</v>
      </c>
    </row>
    <row r="8" spans="1:12" x14ac:dyDescent="0.2">
      <c r="A8" s="30" t="s">
        <v>48</v>
      </c>
      <c r="B8" s="29" t="s">
        <v>1</v>
      </c>
      <c r="C8" s="30" t="s">
        <v>49</v>
      </c>
      <c r="D8" s="36">
        <v>0</v>
      </c>
      <c r="E8">
        <f t="shared" si="1"/>
        <v>0</v>
      </c>
      <c r="F8" s="36">
        <v>0</v>
      </c>
      <c r="G8">
        <f t="shared" si="0"/>
        <v>0</v>
      </c>
      <c r="H8" s="46">
        <f t="shared" si="2"/>
        <v>0</v>
      </c>
      <c r="J8">
        <v>0</v>
      </c>
      <c r="K8">
        <f t="shared" si="3"/>
        <v>0</v>
      </c>
    </row>
    <row r="9" spans="1:12" x14ac:dyDescent="0.2">
      <c r="A9" s="30" t="s">
        <v>50</v>
      </c>
      <c r="B9" s="29" t="s">
        <v>1</v>
      </c>
      <c r="C9" s="30" t="s">
        <v>51</v>
      </c>
      <c r="D9" s="36">
        <v>0</v>
      </c>
      <c r="E9">
        <f t="shared" si="1"/>
        <v>0</v>
      </c>
      <c r="F9" s="36">
        <v>0</v>
      </c>
      <c r="G9">
        <f t="shared" si="0"/>
        <v>0</v>
      </c>
      <c r="H9" s="46">
        <f t="shared" si="2"/>
        <v>0</v>
      </c>
      <c r="J9">
        <v>0</v>
      </c>
      <c r="K9">
        <f t="shared" si="3"/>
        <v>0</v>
      </c>
    </row>
    <row r="10" spans="1:12" x14ac:dyDescent="0.2">
      <c r="A10" s="30" t="s">
        <v>8</v>
      </c>
      <c r="B10" s="29" t="s">
        <v>1</v>
      </c>
      <c r="C10" s="30" t="s">
        <v>52</v>
      </c>
      <c r="D10" s="36">
        <v>0</v>
      </c>
      <c r="E10">
        <f t="shared" si="1"/>
        <v>0</v>
      </c>
      <c r="F10" s="36">
        <v>1599.28</v>
      </c>
      <c r="G10">
        <f t="shared" si="0"/>
        <v>1599.28</v>
      </c>
      <c r="H10" s="46">
        <f t="shared" si="2"/>
        <v>0.22350585117306423</v>
      </c>
      <c r="J10">
        <v>1599.28</v>
      </c>
      <c r="K10">
        <f t="shared" si="3"/>
        <v>0</v>
      </c>
    </row>
    <row r="11" spans="1:12" x14ac:dyDescent="0.2">
      <c r="A11" s="30" t="s">
        <v>7</v>
      </c>
      <c r="B11" s="29" t="s">
        <v>1</v>
      </c>
      <c r="C11" s="30" t="s">
        <v>53</v>
      </c>
      <c r="D11" s="36">
        <v>0</v>
      </c>
      <c r="E11">
        <f t="shared" si="1"/>
        <v>0</v>
      </c>
      <c r="F11" s="36">
        <v>1540</v>
      </c>
      <c r="G11">
        <f t="shared" si="0"/>
        <v>1540</v>
      </c>
      <c r="H11" s="46">
        <f t="shared" si="2"/>
        <v>0.21522123130816301</v>
      </c>
      <c r="J11">
        <v>1555.2</v>
      </c>
      <c r="K11">
        <f t="shared" si="3"/>
        <v>-15.200000000000045</v>
      </c>
    </row>
    <row r="12" spans="1:12" x14ac:dyDescent="0.2">
      <c r="A12" s="30" t="s">
        <v>54</v>
      </c>
      <c r="B12" s="29" t="s">
        <v>1</v>
      </c>
      <c r="C12" s="30" t="s">
        <v>55</v>
      </c>
      <c r="D12" s="36">
        <v>0</v>
      </c>
      <c r="E12">
        <f t="shared" si="1"/>
        <v>0</v>
      </c>
      <c r="F12" s="36">
        <v>0</v>
      </c>
      <c r="G12">
        <f t="shared" si="0"/>
        <v>0</v>
      </c>
      <c r="H12" s="46">
        <f t="shared" si="2"/>
        <v>0</v>
      </c>
      <c r="J12">
        <v>0</v>
      </c>
      <c r="K12">
        <f t="shared" si="3"/>
        <v>0</v>
      </c>
    </row>
    <row r="13" spans="1:12" x14ac:dyDescent="0.2">
      <c r="A13" s="30" t="s">
        <v>9</v>
      </c>
      <c r="B13" s="29" t="s">
        <v>1</v>
      </c>
      <c r="C13" s="30" t="s">
        <v>56</v>
      </c>
      <c r="D13" s="36">
        <v>6.3962596979973262E-3</v>
      </c>
      <c r="E13">
        <f t="shared" si="1"/>
        <v>1.1396583828631988</v>
      </c>
      <c r="F13" s="36">
        <v>570.62</v>
      </c>
      <c r="G13">
        <f t="shared" si="0"/>
        <v>571.75</v>
      </c>
      <c r="H13" s="46">
        <f t="shared" si="2"/>
        <v>7.9904375974313116E-2</v>
      </c>
      <c r="J13">
        <v>571.61</v>
      </c>
      <c r="K13">
        <f t="shared" si="3"/>
        <v>0.13999999999998636</v>
      </c>
    </row>
    <row r="14" spans="1:12" x14ac:dyDescent="0.2">
      <c r="A14" s="30" t="s">
        <v>10</v>
      </c>
      <c r="B14" s="29" t="s">
        <v>1</v>
      </c>
      <c r="C14" s="30" t="s">
        <v>57</v>
      </c>
      <c r="D14" s="36">
        <v>6.3962596652110629E-3</v>
      </c>
      <c r="E14">
        <f t="shared" si="1"/>
        <v>1.1396583770214817</v>
      </c>
      <c r="F14" s="36">
        <v>485.32</v>
      </c>
      <c r="G14">
        <f t="shared" si="0"/>
        <v>486.45</v>
      </c>
      <c r="H14" s="46">
        <f t="shared" si="2"/>
        <v>6.7983355824581745E-2</v>
      </c>
      <c r="J14">
        <v>486.31</v>
      </c>
      <c r="K14">
        <f t="shared" si="3"/>
        <v>0.13999999999998636</v>
      </c>
    </row>
    <row r="15" spans="1:12" x14ac:dyDescent="0.2">
      <c r="A15" s="30" t="s">
        <v>14</v>
      </c>
      <c r="B15" s="29" t="s">
        <v>1</v>
      </c>
      <c r="C15" s="30" t="s">
        <v>58</v>
      </c>
      <c r="D15" s="36">
        <v>0</v>
      </c>
      <c r="E15">
        <f t="shared" si="1"/>
        <v>0</v>
      </c>
      <c r="F15" s="36">
        <v>284.36</v>
      </c>
      <c r="G15">
        <f t="shared" si="0"/>
        <v>284.36</v>
      </c>
      <c r="H15" s="46">
        <f t="shared" si="2"/>
        <v>3.9740460607005999E-2</v>
      </c>
      <c r="J15">
        <v>284.36</v>
      </c>
      <c r="K15">
        <f t="shared" si="3"/>
        <v>0</v>
      </c>
    </row>
    <row r="16" spans="1:12" x14ac:dyDescent="0.2">
      <c r="A16" s="30" t="s">
        <v>15</v>
      </c>
      <c r="B16" s="29" t="s">
        <v>1</v>
      </c>
      <c r="C16" s="30" t="s">
        <v>59</v>
      </c>
      <c r="D16" s="36">
        <v>0</v>
      </c>
      <c r="E16">
        <f t="shared" si="1"/>
        <v>0</v>
      </c>
      <c r="F16" s="36">
        <v>401.94816500000002</v>
      </c>
      <c r="G16">
        <f t="shared" si="0"/>
        <v>401.94</v>
      </c>
      <c r="H16" s="46">
        <f t="shared" si="2"/>
        <v>5.6172741371430544E-2</v>
      </c>
      <c r="J16">
        <v>380.94</v>
      </c>
      <c r="K16">
        <f t="shared" si="3"/>
        <v>21</v>
      </c>
    </row>
    <row r="17" spans="1:11" x14ac:dyDescent="0.2">
      <c r="A17" s="30" t="s">
        <v>16</v>
      </c>
      <c r="B17" s="29" t="s">
        <v>1</v>
      </c>
      <c r="C17" s="30" t="s">
        <v>60</v>
      </c>
      <c r="D17" s="36">
        <v>0</v>
      </c>
      <c r="E17">
        <f t="shared" si="1"/>
        <v>0</v>
      </c>
      <c r="F17" s="36">
        <v>212.481222</v>
      </c>
      <c r="G17">
        <f t="shared" si="0"/>
        <v>212.48</v>
      </c>
      <c r="H17" s="46">
        <f t="shared" si="2"/>
        <v>2.9694939758674332E-2</v>
      </c>
      <c r="J17">
        <v>212.48</v>
      </c>
      <c r="K17">
        <f t="shared" si="3"/>
        <v>0</v>
      </c>
    </row>
    <row r="18" spans="1:11" x14ac:dyDescent="0.2">
      <c r="A18" s="30" t="s">
        <v>61</v>
      </c>
      <c r="B18" s="29" t="s">
        <v>1</v>
      </c>
      <c r="C18" s="30" t="s">
        <v>62</v>
      </c>
      <c r="D18" s="36">
        <v>0</v>
      </c>
      <c r="E18">
        <f t="shared" si="1"/>
        <v>0</v>
      </c>
      <c r="F18" s="36">
        <v>173.5</v>
      </c>
      <c r="G18">
        <f t="shared" si="0"/>
        <v>173.5</v>
      </c>
      <c r="H18" s="46">
        <f t="shared" si="2"/>
        <v>2.424732703374434E-2</v>
      </c>
      <c r="J18">
        <v>173.5</v>
      </c>
      <c r="K18">
        <f t="shared" si="3"/>
        <v>0</v>
      </c>
    </row>
    <row r="19" spans="1:11" x14ac:dyDescent="0.2">
      <c r="A19" s="30" t="s">
        <v>63</v>
      </c>
      <c r="B19" s="29" t="s">
        <v>1</v>
      </c>
      <c r="C19" s="30" t="s">
        <v>64</v>
      </c>
      <c r="D19" s="36">
        <v>6.2381924144978528E-3</v>
      </c>
      <c r="E19">
        <f t="shared" si="1"/>
        <v>1.1114946257297926</v>
      </c>
      <c r="F19" s="36">
        <v>199.69575900000001</v>
      </c>
      <c r="G19">
        <f t="shared" si="0"/>
        <v>200.8</v>
      </c>
      <c r="H19" s="46">
        <f t="shared" si="2"/>
        <v>2.8062612497843593E-2</v>
      </c>
      <c r="J19">
        <v>187.76</v>
      </c>
      <c r="K19">
        <f t="shared" si="3"/>
        <v>13.04000000000002</v>
      </c>
    </row>
    <row r="20" spans="1:11" x14ac:dyDescent="0.2">
      <c r="A20" s="30"/>
      <c r="B20" s="29"/>
      <c r="C20" s="30"/>
    </row>
    <row r="21" spans="1:11" x14ac:dyDescent="0.2">
      <c r="A21" s="30"/>
      <c r="B21" s="29"/>
      <c r="C21" s="30"/>
    </row>
    <row r="22" spans="1:11" x14ac:dyDescent="0.2">
      <c r="A22" s="30"/>
      <c r="B22" s="29"/>
      <c r="C22" s="30"/>
    </row>
    <row r="23" spans="1:11" x14ac:dyDescent="0.2">
      <c r="A23" s="30"/>
      <c r="B23" s="29"/>
      <c r="C23" s="30"/>
    </row>
    <row r="24" spans="1:11" x14ac:dyDescent="0.2">
      <c r="A24" s="30"/>
      <c r="B24" s="29"/>
      <c r="C24" s="30"/>
    </row>
  </sheetData>
  <mergeCells count="1">
    <mergeCell ref="A1:C1"/>
  </mergeCells>
  <phoneticPr fontId="8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D91F-993A-4DAC-B52C-D7C1D346F254}">
  <sheetPr codeName="Sheet5">
    <tabColor rgb="FF00B0F0"/>
  </sheetPr>
  <dimension ref="A1:M22"/>
  <sheetViews>
    <sheetView workbookViewId="0">
      <selection activeCell="E17" sqref="E17"/>
    </sheetView>
  </sheetViews>
  <sheetFormatPr defaultRowHeight="13.2" x14ac:dyDescent="0.2"/>
  <cols>
    <col min="1" max="1" width="15" style="32" customWidth="1"/>
    <col min="2" max="2" width="12.33203125" customWidth="1"/>
    <col min="3" max="3" width="34.441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  <col min="13" max="13" width="11" customWidth="1"/>
  </cols>
  <sheetData>
    <row r="1" spans="1:13" ht="36" customHeight="1" x14ac:dyDescent="0.2">
      <c r="A1" s="104" t="s">
        <v>80</v>
      </c>
      <c r="B1" s="104"/>
      <c r="C1" s="104"/>
      <c r="F1" t="s">
        <v>74</v>
      </c>
      <c r="G1" s="44">
        <v>44702.895740740743</v>
      </c>
      <c r="H1" s="45" t="s">
        <v>77</v>
      </c>
      <c r="I1" s="38" t="s">
        <v>68</v>
      </c>
      <c r="J1" s="39" t="s">
        <v>69</v>
      </c>
      <c r="K1" s="39" t="s">
        <v>76</v>
      </c>
      <c r="L1" s="40" t="s">
        <v>75</v>
      </c>
      <c r="M1" s="48" t="s">
        <v>90</v>
      </c>
    </row>
    <row r="2" spans="1:13" ht="32.4" customHeight="1" x14ac:dyDescent="0.2">
      <c r="A2" s="31" t="s">
        <v>83</v>
      </c>
      <c r="B2" s="28" t="s">
        <v>42</v>
      </c>
      <c r="C2" s="28" t="s">
        <v>43</v>
      </c>
      <c r="D2" s="37" t="s">
        <v>84</v>
      </c>
      <c r="E2" s="37" t="s">
        <v>81</v>
      </c>
      <c r="F2" s="37" t="s">
        <v>82</v>
      </c>
      <c r="G2" s="37" t="s">
        <v>91</v>
      </c>
      <c r="H2">
        <f>SUM(G3:G26)</f>
        <v>5065.2809383585854</v>
      </c>
      <c r="I2" s="41">
        <v>826.31451800000002</v>
      </c>
      <c r="J2" s="42">
        <v>1932.208816762271</v>
      </c>
      <c r="K2" s="42">
        <v>4.6376373208215336</v>
      </c>
      <c r="L2" s="43">
        <f>J2/I2</f>
        <v>2.3383454782314148</v>
      </c>
      <c r="M2" s="49">
        <f>H2/('Quản lý ví'!H2-'Quản lý ví'!G4)</f>
        <v>0.7877406408311628</v>
      </c>
    </row>
    <row r="3" spans="1:13" x14ac:dyDescent="0.2">
      <c r="A3" s="30" t="s">
        <v>66</v>
      </c>
      <c r="B3" s="29" t="s">
        <v>1</v>
      </c>
      <c r="C3" s="34" t="s">
        <v>65</v>
      </c>
      <c r="D3" s="36">
        <v>4.0706528312057744</v>
      </c>
      <c r="E3">
        <f>D3*$J$2/$K$2</f>
        <v>1695.982403609084</v>
      </c>
      <c r="F3" s="36">
        <v>0</v>
      </c>
      <c r="G3">
        <f>ROUNDDOWN(E3+F3,2)</f>
        <v>1695.98</v>
      </c>
      <c r="H3" s="46">
        <f t="shared" ref="H3:H9" si="0">G3/$H$2</f>
        <v>0.3348244688969978</v>
      </c>
    </row>
    <row r="4" spans="1:13" x14ac:dyDescent="0.2">
      <c r="A4" s="30" t="s">
        <v>44</v>
      </c>
      <c r="B4" s="29" t="s">
        <v>1</v>
      </c>
      <c r="C4" s="30" t="s">
        <v>45</v>
      </c>
      <c r="D4" s="36">
        <v>0</v>
      </c>
      <c r="E4">
        <f t="shared" ref="E4:E7" si="1">D4*$J$2/$K$2</f>
        <v>0</v>
      </c>
      <c r="F4" s="36">
        <v>0</v>
      </c>
      <c r="G4">
        <f>'Tổng hợp bot'!M8</f>
        <v>798.44643891140709</v>
      </c>
      <c r="H4" s="46">
        <f t="shared" si="0"/>
        <v>0.15763122492671558</v>
      </c>
    </row>
    <row r="5" spans="1:13" x14ac:dyDescent="0.2">
      <c r="A5" s="30" t="s">
        <v>46</v>
      </c>
      <c r="B5" s="29" t="s">
        <v>1</v>
      </c>
      <c r="C5" s="30" t="s">
        <v>47</v>
      </c>
      <c r="D5" s="36">
        <v>0</v>
      </c>
      <c r="E5">
        <f t="shared" si="1"/>
        <v>0</v>
      </c>
      <c r="F5" s="36">
        <v>0</v>
      </c>
      <c r="G5">
        <f>'Tổng hợp bot'!M11</f>
        <v>541.02489866821077</v>
      </c>
      <c r="H5" s="46">
        <f t="shared" si="0"/>
        <v>0.10681044255040491</v>
      </c>
    </row>
    <row r="6" spans="1:13" x14ac:dyDescent="0.2">
      <c r="A6" s="30" t="s">
        <v>48</v>
      </c>
      <c r="B6" s="29" t="s">
        <v>1</v>
      </c>
      <c r="C6" s="30" t="s">
        <v>49</v>
      </c>
      <c r="D6" s="36">
        <v>0</v>
      </c>
      <c r="E6">
        <f t="shared" si="1"/>
        <v>0</v>
      </c>
      <c r="F6" s="36">
        <v>0</v>
      </c>
      <c r="G6">
        <f>'Tổng hợp bot'!F14</f>
        <v>293.29113924050631</v>
      </c>
      <c r="H6" s="46">
        <f t="shared" si="0"/>
        <v>5.7902245267277892E-2</v>
      </c>
    </row>
    <row r="7" spans="1:13" x14ac:dyDescent="0.2">
      <c r="A7" s="30" t="s">
        <v>86</v>
      </c>
      <c r="B7" s="29" t="s">
        <v>1</v>
      </c>
      <c r="C7" s="30" t="s">
        <v>51</v>
      </c>
      <c r="D7" s="36">
        <v>0</v>
      </c>
      <c r="E7">
        <f t="shared" si="1"/>
        <v>0</v>
      </c>
      <c r="F7" s="36">
        <v>0</v>
      </c>
      <c r="G7">
        <f>'Tổng hợp bot'!F8</f>
        <v>880.76923076923072</v>
      </c>
      <c r="H7" s="46">
        <f t="shared" si="0"/>
        <v>0.17388358937789652</v>
      </c>
    </row>
    <row r="8" spans="1:13" x14ac:dyDescent="0.2">
      <c r="A8" s="30" t="s">
        <v>87</v>
      </c>
      <c r="B8" s="29" t="s">
        <v>88</v>
      </c>
      <c r="C8" s="30" t="s">
        <v>89</v>
      </c>
      <c r="D8" s="36">
        <v>0</v>
      </c>
      <c r="F8" s="36">
        <v>0</v>
      </c>
      <c r="G8">
        <f>'Tổng hợp bot'!F11</f>
        <v>855.76923076923072</v>
      </c>
      <c r="H8" s="46">
        <f t="shared" si="0"/>
        <v>0.16894802898070732</v>
      </c>
    </row>
    <row r="9" spans="1:13" x14ac:dyDescent="0.2">
      <c r="A9" s="30" t="s">
        <v>107</v>
      </c>
      <c r="B9" s="29" t="s">
        <v>88</v>
      </c>
      <c r="C9" s="30" t="s">
        <v>89</v>
      </c>
      <c r="D9" s="36">
        <v>0</v>
      </c>
      <c r="F9" s="36">
        <v>0</v>
      </c>
      <c r="G9">
        <f>'Tổng hợp bot'!F12</f>
        <v>0</v>
      </c>
      <c r="H9" s="46">
        <f t="shared" si="0"/>
        <v>0</v>
      </c>
    </row>
    <row r="10" spans="1:13" x14ac:dyDescent="0.2">
      <c r="A10" s="30"/>
      <c r="B10" s="29"/>
      <c r="C10" s="30"/>
      <c r="D10" s="36"/>
      <c r="F10" s="36"/>
      <c r="H10" s="46"/>
    </row>
    <row r="11" spans="1:13" x14ac:dyDescent="0.2">
      <c r="A11" s="30"/>
      <c r="B11" s="29"/>
      <c r="C11" s="30"/>
      <c r="D11" s="36"/>
      <c r="F11" s="36"/>
      <c r="H11" s="46"/>
    </row>
    <row r="12" spans="1:13" x14ac:dyDescent="0.2">
      <c r="A12" s="30"/>
      <c r="B12" s="29"/>
      <c r="C12" s="30"/>
      <c r="D12" s="36"/>
      <c r="F12" s="36"/>
      <c r="H12" s="46"/>
    </row>
    <row r="13" spans="1:13" x14ac:dyDescent="0.2">
      <c r="A13" s="30"/>
      <c r="B13" s="29"/>
      <c r="C13" s="30"/>
      <c r="D13" s="36"/>
      <c r="F13" s="36"/>
      <c r="H13" s="46"/>
    </row>
    <row r="14" spans="1:13" x14ac:dyDescent="0.2">
      <c r="A14" s="30"/>
      <c r="B14" s="29"/>
      <c r="C14" s="30"/>
      <c r="D14" s="36"/>
      <c r="F14" s="36"/>
      <c r="H14" s="46"/>
    </row>
    <row r="15" spans="1:13" x14ac:dyDescent="0.2">
      <c r="A15" s="30"/>
      <c r="B15" s="29"/>
      <c r="C15" s="30"/>
      <c r="D15" s="36"/>
      <c r="F15" s="36"/>
      <c r="H15" s="46"/>
    </row>
    <row r="16" spans="1:13" x14ac:dyDescent="0.2">
      <c r="A16" s="30"/>
      <c r="B16" s="29"/>
      <c r="C16" s="30"/>
      <c r="D16" s="36"/>
      <c r="F16" s="36"/>
      <c r="H16" s="46"/>
    </row>
    <row r="17" spans="1:8" x14ac:dyDescent="0.2">
      <c r="A17" s="30"/>
      <c r="B17" s="29"/>
      <c r="C17" s="30"/>
      <c r="D17" s="36"/>
      <c r="F17" s="36"/>
      <c r="H17" s="46"/>
    </row>
    <row r="18" spans="1:8" x14ac:dyDescent="0.2">
      <c r="A18" s="30"/>
      <c r="B18" s="29"/>
      <c r="C18" s="30"/>
    </row>
    <row r="19" spans="1:8" x14ac:dyDescent="0.2">
      <c r="A19" s="30"/>
      <c r="B19" s="29"/>
      <c r="C19" s="30"/>
    </row>
    <row r="20" spans="1:8" x14ac:dyDescent="0.2">
      <c r="A20" s="30"/>
      <c r="B20" s="29"/>
      <c r="C20" s="30"/>
    </row>
    <row r="21" spans="1:8" x14ac:dyDescent="0.2">
      <c r="A21" s="30"/>
      <c r="B21" s="29"/>
      <c r="C21" s="30"/>
    </row>
    <row r="22" spans="1:8" x14ac:dyDescent="0.2">
      <c r="A22" s="30"/>
      <c r="B22" s="29"/>
      <c r="C22" s="30"/>
    </row>
  </sheetData>
  <mergeCells count="1">
    <mergeCell ref="A1:C1"/>
  </mergeCells>
  <phoneticPr fontId="8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9921F-9573-4717-97D4-F858175D75AD}">
  <sheetPr codeName="Sheet6"/>
  <dimension ref="A1"/>
  <sheetViews>
    <sheetView workbookViewId="0">
      <selection activeCell="K31" sqref="K31"/>
    </sheetView>
  </sheetViews>
  <sheetFormatPr defaultRowHeight="13.2" x14ac:dyDescent="0.2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Tổng hợp bot</vt:lpstr>
      <vt:lpstr>Chia cổ tức</vt:lpstr>
      <vt:lpstr>Quản lý ví</vt:lpstr>
      <vt:lpstr>Tài sản Quỹ</vt:lpstr>
      <vt:lpstr>&lt;&lt;&lt;&lt;&lt;Team-&gt;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tuannp1</cp:lastModifiedBy>
  <dcterms:created xsi:type="dcterms:W3CDTF">2021-10-26T03:49:58Z</dcterms:created>
  <dcterms:modified xsi:type="dcterms:W3CDTF">2022-05-21T13:09:41Z</dcterms:modified>
</cp:coreProperties>
</file>